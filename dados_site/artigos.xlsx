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rtigos e Public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Calibri"/>
      <b val="1"/>
      <color rgb="FF0F172A"/>
      <sz val="14"/>
    </font>
    <font>
      <name val="Calibri"/>
      <i val="1"/>
      <color rgb="FF475569"/>
      <sz val="10"/>
    </font>
    <font>
      <name val="Calibri"/>
      <color theme="1"/>
      <scheme val="minor"/>
    </font>
    <font>
      <name val="Calibri"/>
      <b val="1"/>
      <color rgb="FFFFFFFF"/>
      <sz val="11"/>
    </font>
    <font>
      <name val="Calibri"/>
      <color rgb="FF1E293B"/>
      <sz val="10"/>
    </font>
    <font>
      <name val="Calibri"/>
      <color rgb="FF0000FF"/>
      <sz val="10"/>
      <u val="single"/>
    </font>
  </fonts>
  <fills count="4">
    <fill>
      <patternFill/>
    </fill>
    <fill>
      <patternFill patternType="lightGray"/>
    </fill>
    <fill>
      <patternFill patternType="solid">
        <fgColor rgb="FF10B981"/>
        <bgColor rgb="FF10B981"/>
      </patternFill>
    </fill>
    <fill>
      <patternFill patternType="solid">
        <fgColor rgb="FFD9EAD3"/>
        <bgColor rgb="FFD9EAD3"/>
      </patternFill>
    </fill>
  </fills>
  <borders count="3">
    <border/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/>
    </xf>
    <xf numFmtId="0" fontId="5" fillId="0" borderId="0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3" fillId="0" borderId="0" pivotButton="0" quotePrefix="0" xfId="0"/>
    <xf numFmtId="0" fontId="5" fillId="3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dx.doi.org/10.1016/j.enbuild.2025.116766" TargetMode="External" Id="rId1"/><Relationship Type="http://schemas.openxmlformats.org/officeDocument/2006/relationships/hyperlink" Target="http://dx.doi.org/10.3390/su18020892" TargetMode="External" Id="rId2"/><Relationship Type="http://schemas.openxmlformats.org/officeDocument/2006/relationships/hyperlink" Target="http://dx.doi.org/10.3390/buildings16050934" TargetMode="External" Id="rId3"/><Relationship Type="http://schemas.openxmlformats.org/officeDocument/2006/relationships/hyperlink" Target="http://dx.doi.org/10.3390/w18050561" TargetMode="External" Id="rId4"/><Relationship Type="http://schemas.openxmlformats.org/officeDocument/2006/relationships/hyperlink" Target="http://dx.doi.org/10.1016/j.scitotenv.2026.181801" TargetMode="External" Id="rId5"/><Relationship Type="http://schemas.openxmlformats.org/officeDocument/2006/relationships/hyperlink" Target="http://dx.doi.org/10.3390/w18121495" TargetMode="External" Id="rId6"/><Relationship Type="http://schemas.openxmlformats.org/officeDocument/2006/relationships/hyperlink" Target="http://dx.doi.org/10.3390/buildings16132515" TargetMode="External" Id="rId7"/><Relationship Type="http://schemas.openxmlformats.org/officeDocument/2006/relationships/hyperlink" Target="http://dx.doi.org/10.3390/w18070792" TargetMode="External" Id="rId8"/><Relationship Type="http://schemas.openxmlformats.org/officeDocument/2006/relationships/hyperlink" Target="http://dx.doi.org/10.1590/s1678-86212025000100812" TargetMode="External" Id="rId9"/><Relationship Type="http://schemas.openxmlformats.org/officeDocument/2006/relationships/hyperlink" Target="http://dx.doi.org/10.1061/JWRMD5.WRENG-6426" TargetMode="External" Id="rId10"/><Relationship Type="http://schemas.openxmlformats.org/officeDocument/2006/relationships/hyperlink" Target="http://dx.doi.org/10.20396/parc.v16i00.8675477" TargetMode="External" Id="rId11"/><Relationship Type="http://schemas.openxmlformats.org/officeDocument/2006/relationships/hyperlink" Target="http://dx.doi.org/10.3390/su17051876" TargetMode="External" Id="rId12"/><Relationship Type="http://schemas.openxmlformats.org/officeDocument/2006/relationships/hyperlink" Target="http://dx.doi.org/10.1016/j.enbuild.2024.115059" TargetMode="External" Id="rId13"/><Relationship Type="http://schemas.openxmlformats.org/officeDocument/2006/relationships/hyperlink" Target="http://dx.doi.org/10.1016/j.enbuild.2025.115628" TargetMode="External" Id="rId14"/><Relationship Type="http://schemas.openxmlformats.org/officeDocument/2006/relationships/hyperlink" Target="http://dx.doi.org/10.3390/w17071037" TargetMode="External" Id="rId15"/><Relationship Type="http://schemas.openxmlformats.org/officeDocument/2006/relationships/hyperlink" Target="http://dx.doi.org/10.1007/s11269-024-04048-8" TargetMode="External" Id="rId16"/><Relationship Type="http://schemas.openxmlformats.org/officeDocument/2006/relationships/hyperlink" Target="http://dx.doi.org/10.1016/j.buildenv.2025.113085" TargetMode="External" Id="rId17"/><Relationship Type="http://schemas.openxmlformats.org/officeDocument/2006/relationships/hyperlink" Target="http://dx.doi.org/10.1590/s1678-86212025000100905" TargetMode="External" Id="rId18"/><Relationship Type="http://schemas.openxmlformats.org/officeDocument/2006/relationships/hyperlink" Target="http://dx.doi.org/10.1016/j.scitotenv.2025.179774" TargetMode="External" Id="rId19"/><Relationship Type="http://schemas.openxmlformats.org/officeDocument/2006/relationships/hyperlink" Target="http://dx.doi.org/10.3390/w17121772" TargetMode="External" Id="rId20"/><Relationship Type="http://schemas.openxmlformats.org/officeDocument/2006/relationships/hyperlink" Target="http://dx.doi.org/10.3390/su17135782" TargetMode="External" Id="rId21"/><Relationship Type="http://schemas.openxmlformats.org/officeDocument/2006/relationships/hyperlink" Target="http://dx.doi.org/10.1504/ijlsm.2025.146710" TargetMode="External" Id="rId22"/><Relationship Type="http://schemas.openxmlformats.org/officeDocument/2006/relationships/hyperlink" Target="http://dx.doi.org/10.3390/w17142137" TargetMode="External" Id="rId23"/><Relationship Type="http://schemas.openxmlformats.org/officeDocument/2006/relationships/hyperlink" Target="http://dx.doi.org/10.1016/j.enbuild.2025.116416" TargetMode="External" Id="rId24"/><Relationship Type="http://schemas.openxmlformats.org/officeDocument/2006/relationships/hyperlink" Target="http://dx.doi.org/10.3390/w17182748" TargetMode="External" Id="rId25"/><Relationship Type="http://schemas.openxmlformats.org/officeDocument/2006/relationships/hyperlink" Target="http://dx.doi.org/10.14207/ejsd.2025.v14n3p77" TargetMode="External" Id="rId26"/><Relationship Type="http://schemas.openxmlformats.org/officeDocument/2006/relationships/hyperlink" Target="http://dx.doi.org/10.1016/j.enbuild.2025.116566" TargetMode="External" Id="rId27"/><Relationship Type="http://schemas.openxmlformats.org/officeDocument/2006/relationships/hyperlink" Target="http://dx.doi.org/10.3390/w17223323" TargetMode="External" Id="rId28"/><Relationship Type="http://schemas.openxmlformats.org/officeDocument/2006/relationships/hyperlink" Target="http://dx.doi.org/10.1590/s1678-86212024000100707" TargetMode="External" Id="rId29"/><Relationship Type="http://schemas.openxmlformats.org/officeDocument/2006/relationships/hyperlink" Target="http://dx.doi.org/10.1590/s1678-86212024000100731" TargetMode="External" Id="rId30"/><Relationship Type="http://schemas.openxmlformats.org/officeDocument/2006/relationships/hyperlink" Target="http://dx.doi.org/10.1080/1573062X.2023.2281307" TargetMode="External" Id="rId31"/><Relationship Type="http://schemas.openxmlformats.org/officeDocument/2006/relationships/hyperlink" Target="http://dx.doi.org/10.1016/j.scitotenv.2023.168281" TargetMode="External" Id="rId32"/><Relationship Type="http://schemas.openxmlformats.org/officeDocument/2006/relationships/hyperlink" Target="http://dx.doi.org/10.1590/s1678-86212024000100765" TargetMode="External" Id="rId33"/><Relationship Type="http://schemas.openxmlformats.org/officeDocument/2006/relationships/hyperlink" Target="http://dx.doi.org/10.1016/j.jobe.2024.108612" TargetMode="External" Id="rId34"/><Relationship Type="http://schemas.openxmlformats.org/officeDocument/2006/relationships/hyperlink" Target="http://dx.doi.org/10.3390/w16060838" TargetMode="External" Id="rId35"/><Relationship Type="http://schemas.openxmlformats.org/officeDocument/2006/relationships/hyperlink" Target="http://dx.doi.org/10.3390/su16072608" TargetMode="External" Id="rId36"/><Relationship Type="http://schemas.openxmlformats.org/officeDocument/2006/relationships/hyperlink" Target="http://dx.doi.org/10.1590/s1678-86212024000100772" TargetMode="External" Id="rId37"/><Relationship Type="http://schemas.openxmlformats.org/officeDocument/2006/relationships/hyperlink" Target="http://dx.doi.org/10.3390/w16071058" TargetMode="External" Id="rId38"/><Relationship Type="http://schemas.openxmlformats.org/officeDocument/2006/relationships/hyperlink" Target="http://dx.doi.org/10.1016/j.jobe.2024.109273" TargetMode="External" Id="rId39"/><Relationship Type="http://schemas.openxmlformats.org/officeDocument/2006/relationships/hyperlink" Target="http://dx.doi.org/10.1016/j.buildenv.2024.111644" TargetMode="External" Id="rId40"/><Relationship Type="http://schemas.openxmlformats.org/officeDocument/2006/relationships/hyperlink" Target="http://dx.doi.org/10.3390/w16101403" TargetMode="External" Id="rId41"/><Relationship Type="http://schemas.openxmlformats.org/officeDocument/2006/relationships/hyperlink" Target="http://dx.doi.org/10.3390/su16104258" TargetMode="External" Id="rId42"/><Relationship Type="http://schemas.openxmlformats.org/officeDocument/2006/relationships/hyperlink" Target="http://dx.doi.org/10.3390/w16111580" TargetMode="External" Id="rId43"/><Relationship Type="http://schemas.openxmlformats.org/officeDocument/2006/relationships/hyperlink" Target="http://dx.doi.org/10.1016/j.jobe.2024.110095" TargetMode="External" Id="rId44"/><Relationship Type="http://schemas.openxmlformats.org/officeDocument/2006/relationships/hyperlink" Target="http://dx.doi.org/10.1051/e3sconf/202454601017" TargetMode="External" Id="rId45"/><Relationship Type="http://schemas.openxmlformats.org/officeDocument/2006/relationships/hyperlink" Target="http://dx.doi.org/10.1016/j.enbuild.2024.114556" TargetMode="External" Id="rId46"/><Relationship Type="http://schemas.openxmlformats.org/officeDocument/2006/relationships/hyperlink" Target="http://dx.doi.org/10.1016/j.enbuild.2024.114624" TargetMode="External" Id="rId47"/><Relationship Type="http://schemas.openxmlformats.org/officeDocument/2006/relationships/hyperlink" Target="http://dx.doi.org/10.18830/1679-09442024v17e53378" TargetMode="External" Id="rId48"/><Relationship Type="http://schemas.openxmlformats.org/officeDocument/2006/relationships/hyperlink" Target="http://dx.doi.org/10.14207/ejsd.2024.v13n4p57" TargetMode="External" Id="rId49"/><Relationship Type="http://schemas.openxmlformats.org/officeDocument/2006/relationships/hyperlink" Target="http://dx.doi.org/10.3390/su16188104" TargetMode="External" Id="rId50"/><Relationship Type="http://schemas.openxmlformats.org/officeDocument/2006/relationships/hyperlink" Target="http://dx.doi.org/10.3390/su16198349" TargetMode="External" Id="rId51"/><Relationship Type="http://schemas.openxmlformats.org/officeDocument/2006/relationships/hyperlink" Target="http://dx.doi.org/10.1016/j.jclepro.2024.143782" TargetMode="External" Id="rId52"/><Relationship Type="http://schemas.openxmlformats.org/officeDocument/2006/relationships/hyperlink" Target="http://dx.doi.org/10.1007/s11269-024-04004-6" TargetMode="External" Id="rId53"/><Relationship Type="http://schemas.openxmlformats.org/officeDocument/2006/relationships/hyperlink" Target="https://www.scielo.br/j/ac/a/Db7ntHnfBKwLqSrJWsyM9Tt/?lang=en" TargetMode="External" Id="rId54"/><Relationship Type="http://schemas.openxmlformats.org/officeDocument/2006/relationships/hyperlink" Target="http://dx.doi.org/10.1016/j.jenvman.2022.116814" TargetMode="External" Id="rId55"/><Relationship Type="http://schemas.openxmlformats.org/officeDocument/2006/relationships/hyperlink" Target="http://dx.doi.org/10.3390/sci5010001" TargetMode="External" Id="rId56"/><Relationship Type="http://schemas.openxmlformats.org/officeDocument/2006/relationships/hyperlink" Target="http://dx.doi.org/10.3390/w15061112" TargetMode="External" Id="rId57"/><Relationship Type="http://schemas.openxmlformats.org/officeDocument/2006/relationships/hyperlink" Target="http://dx.doi.org/10.1590/s1678-86212023000400690" TargetMode="External" Id="rId58"/><Relationship Type="http://schemas.openxmlformats.org/officeDocument/2006/relationships/hyperlink" Target="http://dx.doi.org/10.1016/j.scitotenv.2023.165510" TargetMode="External" Id="rId59"/><Relationship Type="http://schemas.openxmlformats.org/officeDocument/2006/relationships/hyperlink" Target="https://sustentavelglobal.com/cvbeesi/includes/pt-br/conferencia.php?id=32&amp;dia=26-05-2023" TargetMode="External" Id="rId60"/><Relationship Type="http://schemas.openxmlformats.org/officeDocument/2006/relationships/hyperlink" Target="http://dx.doi.org/10.20396/parc.v14i00.8672170" TargetMode="External" Id="rId61"/><Relationship Type="http://schemas.openxmlformats.org/officeDocument/2006/relationships/hyperlink" Target="http://dx.doi.org/10.3390/su151612133" TargetMode="External" Id="rId62"/><Relationship Type="http://schemas.openxmlformats.org/officeDocument/2006/relationships/hyperlink" Target="http://dx.doi.org/10.3390/su151612377" TargetMode="External" Id="rId63"/><Relationship Type="http://schemas.openxmlformats.org/officeDocument/2006/relationships/hyperlink" Target="http://dx.doi.org/10.3390/su151712793" TargetMode="External" Id="rId64"/><Relationship Type="http://schemas.openxmlformats.org/officeDocument/2006/relationships/hyperlink" Target="http://dx.doi.org/10.3390/w15173145" TargetMode="External" Id="rId65"/><Relationship Type="http://schemas.openxmlformats.org/officeDocument/2006/relationships/hyperlink" Target="http://dx.doi.org/10.14207/ejsd.2023.v12n3p80" TargetMode="External" Id="rId66"/><Relationship Type="http://schemas.openxmlformats.org/officeDocument/2006/relationships/hyperlink" Target="http://dx.doi.org/10.1080/1573062X.2021.1949479" TargetMode="External" Id="rId67"/><Relationship Type="http://schemas.openxmlformats.org/officeDocument/2006/relationships/hyperlink" Target="http://dx.doi.org/10.1016/j.apenergy.2021.117960" TargetMode="External" Id="rId68"/><Relationship Type="http://schemas.openxmlformats.org/officeDocument/2006/relationships/hyperlink" Target="http://dx.doi.org/10.1080/1573062X.2021.2016869" TargetMode="External" Id="rId69"/><Relationship Type="http://schemas.openxmlformats.org/officeDocument/2006/relationships/hyperlink" Target="http://dx.doi.org/10.5902/2179460X68822" TargetMode="External" Id="rId70"/><Relationship Type="http://schemas.openxmlformats.org/officeDocument/2006/relationships/hyperlink" Target="http://dx.doi.org/10.1016/j.energy.2022.123161" TargetMode="External" Id="rId71"/><Relationship Type="http://schemas.openxmlformats.org/officeDocument/2006/relationships/hyperlink" Target="http://dx.doi.org/10.3390/w14030473" TargetMode="External" Id="rId72"/><Relationship Type="http://schemas.openxmlformats.org/officeDocument/2006/relationships/hyperlink" Target="http://dx.doi.org/10.1590/s1678-86212022000300609" TargetMode="External" Id="rId73"/><Relationship Type="http://schemas.openxmlformats.org/officeDocument/2006/relationships/hyperlink" Target="http://dx.doi.org/10.47236/2594-7036.2022.v7.i0.21-34p" TargetMode="External" Id="rId74"/><Relationship Type="http://schemas.openxmlformats.org/officeDocument/2006/relationships/hyperlink" Target="http://dx.doi.org/10.1016/j.scitotenv.2022.154650" TargetMode="External" Id="rId75"/><Relationship Type="http://schemas.openxmlformats.org/officeDocument/2006/relationships/hyperlink" Target="http://dx.doi.org/10.3390/su14073794" TargetMode="External" Id="rId76"/><Relationship Type="http://schemas.openxmlformats.org/officeDocument/2006/relationships/hyperlink" Target="http://dx.doi.org/10.1016/j.enbuild.2022.112197" TargetMode="External" Id="rId77"/><Relationship Type="http://schemas.openxmlformats.org/officeDocument/2006/relationships/hyperlink" Target="http://dx.doi.org/10.1016/j.jenvman.2022.115716" TargetMode="External" Id="rId78"/><Relationship Type="http://schemas.openxmlformats.org/officeDocument/2006/relationships/hyperlink" Target="http://dx.doi.org/10.3390/su14159722" TargetMode="External" Id="rId79"/><Relationship Type="http://schemas.openxmlformats.org/officeDocument/2006/relationships/hyperlink" Target="http://dx.doi.org/10.3390/w14172716" TargetMode="External" Id="rId80"/><Relationship Type="http://schemas.openxmlformats.org/officeDocument/2006/relationships/hyperlink" Target="http://dx.doi.org/10.1016/j.jenvman.2022.116163" TargetMode="External" Id="rId81"/><Relationship Type="http://schemas.openxmlformats.org/officeDocument/2006/relationships/hyperlink" Target="http://dx.doi.org/10.1016/j.clema.2022.100153" TargetMode="External" Id="rId82"/><Relationship Type="http://schemas.openxmlformats.org/officeDocument/2006/relationships/hyperlink" Target="http://dx.doi.org/10.3390/su141912859" TargetMode="External" Id="rId83"/><Relationship Type="http://schemas.openxmlformats.org/officeDocument/2006/relationships/hyperlink" Target="http://dx.doi.org/10.1590/s1678-86212021000100505" TargetMode="External" Id="rId84"/><Relationship Type="http://schemas.openxmlformats.org/officeDocument/2006/relationships/hyperlink" Target="http://dx.doi.org/10.1590/s1678-86212021000100507" TargetMode="External" Id="rId85"/><Relationship Type="http://schemas.openxmlformats.org/officeDocument/2006/relationships/hyperlink" Target="http://dx.doi.org/10.1016/j.jclepro.2020.123369" TargetMode="External" Id="rId86"/><Relationship Type="http://schemas.openxmlformats.org/officeDocument/2006/relationships/hyperlink" Target="http://dx.doi.org/10.1590/s1678-86212021000200516" TargetMode="External" Id="rId87"/><Relationship Type="http://schemas.openxmlformats.org/officeDocument/2006/relationships/hyperlink" Target="http://dx.doi.org/10.1016/j.buildenv.2020.107541" TargetMode="External" Id="rId88"/><Relationship Type="http://schemas.openxmlformats.org/officeDocument/2006/relationships/hyperlink" Target="http://dx.doi.org/10.1016/j.erss.2021.101959" TargetMode="External" Id="rId89"/><Relationship Type="http://schemas.openxmlformats.org/officeDocument/2006/relationships/hyperlink" Target="http://dx.doi.org/10.9790/9622-1101052437" TargetMode="External" Id="rId90"/><Relationship Type="http://schemas.openxmlformats.org/officeDocument/2006/relationships/hyperlink" Target="http://dx.doi.org/10.3390/w13040448" TargetMode="External" Id="rId91"/><Relationship Type="http://schemas.openxmlformats.org/officeDocument/2006/relationships/hyperlink" Target="http://dx.doi.org/10.3390/w13070930" TargetMode="External" Id="rId92"/><Relationship Type="http://schemas.openxmlformats.org/officeDocument/2006/relationships/hyperlink" Target="http://dx.doi.org/10.1016/j.enbuild.2021.110982" TargetMode="External" Id="rId93"/><Relationship Type="http://schemas.openxmlformats.org/officeDocument/2006/relationships/hyperlink" Target="http://dx.doi.org/10.3390/w13141896" TargetMode="External" Id="rId94"/><Relationship Type="http://schemas.openxmlformats.org/officeDocument/2006/relationships/hyperlink" Target="http://dx.doi.org/10.1016/j.jobe.2021.103142" TargetMode="External" Id="rId95"/><Relationship Type="http://schemas.openxmlformats.org/officeDocument/2006/relationships/hyperlink" Target="http://dx.doi.org/10.3390/sci3040036" TargetMode="External" Id="rId96"/><Relationship Type="http://schemas.openxmlformats.org/officeDocument/2006/relationships/hyperlink" Target="http://dx.doi.org/10.3390/sci3040047" TargetMode="External" Id="rId97"/><Relationship Type="http://schemas.openxmlformats.org/officeDocument/2006/relationships/hyperlink" Target="http://dx.doi.org/10.1016/j.jclepro.2019.118753" TargetMode="External" Id="rId98"/><Relationship Type="http://schemas.openxmlformats.org/officeDocument/2006/relationships/hyperlink" Target="http://dx.doi.org/10.1016/j.jobe.2019.101077" TargetMode="External" Id="rId99"/><Relationship Type="http://schemas.openxmlformats.org/officeDocument/2006/relationships/hyperlink" Target="http://dx.doi.org/10.1016/j.watres.2019.115322" TargetMode="External" Id="rId100"/><Relationship Type="http://schemas.openxmlformats.org/officeDocument/2006/relationships/hyperlink" Target="http://dx.doi.org/10.1016/j.enbuild.2019.109702" TargetMode="External" Id="rId101"/><Relationship Type="http://schemas.openxmlformats.org/officeDocument/2006/relationships/hyperlink" Target="http://dx.doi.org/10.1016/j.enbuild.2020.109810" TargetMode="External" Id="rId102"/><Relationship Type="http://schemas.openxmlformats.org/officeDocument/2006/relationships/hyperlink" Target="http://dx.doi.org/10.3390/w12020546" TargetMode="External" Id="rId103"/><Relationship Type="http://schemas.openxmlformats.org/officeDocument/2006/relationships/hyperlink" Target="http://dx.doi.org/10.1016/j.jclepro.2020.120909" TargetMode="External" Id="rId104"/><Relationship Type="http://schemas.openxmlformats.org/officeDocument/2006/relationships/hyperlink" Target="http://dx.doi.org/10.1016/j.jclepro.2020.121194" TargetMode="External" Id="rId105"/><Relationship Type="http://schemas.openxmlformats.org/officeDocument/2006/relationships/hyperlink" Target="http://dx.doi.org/10.1080/1573062X.2020.1748663" TargetMode="External" Id="rId106"/><Relationship Type="http://schemas.openxmlformats.org/officeDocument/2006/relationships/hyperlink" Target="http://dx.doi.org/10.1016/j.scitotenv.2020.138967" TargetMode="External" Id="rId107"/><Relationship Type="http://schemas.openxmlformats.org/officeDocument/2006/relationships/hyperlink" Target="http://dx.doi.org/10.1007/s10668-019-00380-x" TargetMode="External" Id="rId108"/><Relationship Type="http://schemas.openxmlformats.org/officeDocument/2006/relationships/hyperlink" Target="http://dx.doi.org/10.1080/1573062X.2020.176406" TargetMode="External" Id="rId109"/><Relationship Type="http://schemas.openxmlformats.org/officeDocument/2006/relationships/hyperlink" Target="http://dx.doi.org/10.1016/j.enbuild.2020.110209" TargetMode="External" Id="rId110"/><Relationship Type="http://schemas.openxmlformats.org/officeDocument/2006/relationships/hyperlink" Target="http://dx.doi.org/10.1016/j.jclepro.2020.122996" TargetMode="External" Id="rId111"/><Relationship Type="http://schemas.openxmlformats.org/officeDocument/2006/relationships/hyperlink" Target="http://dx.doi.org/10.1016/j.buildenv.2020.107086" TargetMode="External" Id="rId112"/><Relationship Type="http://schemas.openxmlformats.org/officeDocument/2006/relationships/hyperlink" Target="http://dx.doi.org/10.3390/w12072045" TargetMode="External" Id="rId113"/><Relationship Type="http://schemas.openxmlformats.org/officeDocument/2006/relationships/hyperlink" Target="http://dx.doi.org/10.1016/j.scitotenv.2020.141087" TargetMode="External" Id="rId114"/><Relationship Type="http://schemas.openxmlformats.org/officeDocument/2006/relationships/hyperlink" Target="http://dx.doi.org/10.1590/s1678-86212020000400457" TargetMode="External" Id="rId115"/><Relationship Type="http://schemas.openxmlformats.org/officeDocument/2006/relationships/hyperlink" Target="http://dx.doi.org/10.1590/s1678-86212020000400463" TargetMode="External" Id="rId116"/><Relationship Type="http://schemas.openxmlformats.org/officeDocument/2006/relationships/hyperlink" Target="http://dx.doi.org/10.3390/w12102840" TargetMode="External" Id="rId117"/><Relationship Type="http://schemas.openxmlformats.org/officeDocument/2006/relationships/hyperlink" Target="http://dx.doi.org/10.5902/2236117062659" TargetMode="External" Id="rId118"/><Relationship Type="http://schemas.openxmlformats.org/officeDocument/2006/relationships/hyperlink" Target="http://dx.doi.org/10.1080/1573062x.2020.1846062" TargetMode="External" Id="rId119"/><Relationship Type="http://schemas.openxmlformats.org/officeDocument/2006/relationships/hyperlink" Target="http://dx.doi.org/10.1590/s1678-86212019000200310" TargetMode="External" Id="rId120"/><Relationship Type="http://schemas.openxmlformats.org/officeDocument/2006/relationships/hyperlink" Target="http://dx.doi.org/10.1590/s1678-86212019000300334" TargetMode="External" Id="rId121"/><Relationship Type="http://schemas.openxmlformats.org/officeDocument/2006/relationships/hyperlink" Target="http://dx.doi.org/10.1016/j.resconrec.2019.01.017" TargetMode="External" Id="rId122"/><Relationship Type="http://schemas.openxmlformats.org/officeDocument/2006/relationships/hyperlink" Target="http://dx.doi.org/10.1016/j.resconrec.2019.01.035" TargetMode="External" Id="rId123"/><Relationship Type="http://schemas.openxmlformats.org/officeDocument/2006/relationships/hyperlink" Target="http://dx.doi.org/10.14207/ejsd.2019.v8n4p64" TargetMode="External" Id="rId124"/><Relationship Type="http://schemas.openxmlformats.org/officeDocument/2006/relationships/hyperlink" Target="http://dx.doi.org/10.3390/w11051004" TargetMode="External" Id="rId125"/><Relationship Type="http://schemas.openxmlformats.org/officeDocument/2006/relationships/hyperlink" Target="http://dx.doi.org/10.3390/w11051068" TargetMode="External" Id="rId126"/><Relationship Type="http://schemas.openxmlformats.org/officeDocument/2006/relationships/hyperlink" Target="http://dx.doi.org/10.1016/j.enbuild.2019.07.048" TargetMode="External" Id="rId127"/><Relationship Type="http://schemas.openxmlformats.org/officeDocument/2006/relationships/hyperlink" Target="http://dx.doi.org/10.1016/j.enbuild.2019.109365" TargetMode="External" Id="rId128"/><Relationship Type="http://schemas.openxmlformats.org/officeDocument/2006/relationships/hyperlink" Target="http://dx.doi.org/10.3390/w11102074" TargetMode="External" Id="rId129"/><Relationship Type="http://schemas.openxmlformats.org/officeDocument/2006/relationships/hyperlink" Target="http://dx.doi.org/10.3390/w11112351" TargetMode="External" Id="rId130"/><Relationship Type="http://schemas.openxmlformats.org/officeDocument/2006/relationships/hyperlink" Target="http://dx.doi.org/10.1016/j.jclepro.2019.119292" TargetMode="External" Id="rId131"/><Relationship Type="http://schemas.openxmlformats.org/officeDocument/2006/relationships/hyperlink" Target="http://dx.doi.org/10.1590/s1678-86212018000100230" TargetMode="External" Id="rId132"/><Relationship Type="http://schemas.openxmlformats.org/officeDocument/2006/relationships/hyperlink" Target="http://dx.doi.org/10.1016/j.jenvman.2017.10.004" TargetMode="External" Id="rId133"/><Relationship Type="http://schemas.openxmlformats.org/officeDocument/2006/relationships/hyperlink" Target="http://dx.doi.org/10.2166/ws.2017.218" TargetMode="External" Id="rId134"/><Relationship Type="http://schemas.openxmlformats.org/officeDocument/2006/relationships/hyperlink" Target="http://dx.doi.org/10.1016/j.enbuild.2017.11.036" TargetMode="External" Id="rId135"/><Relationship Type="http://schemas.openxmlformats.org/officeDocument/2006/relationships/hyperlink" Target="http://dx.doi.org/10.1016/j.enbuild.2017.11.047" TargetMode="External" Id="rId136"/><Relationship Type="http://schemas.openxmlformats.org/officeDocument/2006/relationships/hyperlink" Target="http://dx.doi.org/10.1016/j.resconrec.2018.02.007" TargetMode="External" Id="rId137"/><Relationship Type="http://schemas.openxmlformats.org/officeDocument/2006/relationships/hyperlink" Target="http://dx.doi.org/10.3390/w10020206" TargetMode="External" Id="rId138"/><Relationship Type="http://schemas.openxmlformats.org/officeDocument/2006/relationships/hyperlink" Target="http://dx.doi.org/10.1016/j.enbuild.2018.02.011" TargetMode="External" Id="rId139"/><Relationship Type="http://schemas.openxmlformats.org/officeDocument/2006/relationships/hyperlink" Target="http://dx.doi.org/10.1016/j.buildenv.2018.02.049" TargetMode="External" Id="rId140"/><Relationship Type="http://schemas.openxmlformats.org/officeDocument/2006/relationships/hyperlink" Target="http://dx.doi.org/10.1590/s1678-86212018000300273" TargetMode="External" Id="rId141"/><Relationship Type="http://schemas.openxmlformats.org/officeDocument/2006/relationships/hyperlink" Target="http://dx.doi.org/10.1590/s1678-86212018000300271" TargetMode="External" Id="rId142"/><Relationship Type="http://schemas.openxmlformats.org/officeDocument/2006/relationships/hyperlink" Target="http://dx.doi.org/10.3390/w10040471" TargetMode="External" Id="rId143"/><Relationship Type="http://schemas.openxmlformats.org/officeDocument/2006/relationships/hyperlink" Target="http://dx.doi.org/10.1016/j.buildenv.2018.04.041" TargetMode="External" Id="rId144"/><Relationship Type="http://schemas.openxmlformats.org/officeDocument/2006/relationships/hyperlink" Target="http://dx.doi.org/10.1016/j.procir.2017.11.148" TargetMode="External" Id="rId145"/><Relationship Type="http://schemas.openxmlformats.org/officeDocument/2006/relationships/hyperlink" Target="http://dx.doi.org/10.1016/j.jenvman.2018.05.094" TargetMode="External" Id="rId146"/><Relationship Type="http://schemas.openxmlformats.org/officeDocument/2006/relationships/hyperlink" Target="http://dx.doi.org/10.1016/j.enbuild.2018.06.049" TargetMode="External" Id="rId147"/><Relationship Type="http://schemas.openxmlformats.org/officeDocument/2006/relationships/hyperlink" Target="http://dx.doi.org/10.3390/w10081100" TargetMode="External" Id="rId148"/><Relationship Type="http://schemas.openxmlformats.org/officeDocument/2006/relationships/hyperlink" Target="http://dx.doi.org/10.1016/j.enbuild.2018.08.033" TargetMode="External" Id="rId149"/><Relationship Type="http://schemas.openxmlformats.org/officeDocument/2006/relationships/hyperlink" Target="http://dx.doi.org/10.3390/w10111575" TargetMode="External" Id="rId150"/><Relationship Type="http://schemas.openxmlformats.org/officeDocument/2006/relationships/hyperlink" Target="http://dx.doi.org/10.2166/ws.2018.053" TargetMode="External" Id="rId151"/><Relationship Type="http://schemas.openxmlformats.org/officeDocument/2006/relationships/hyperlink" Target="http://dx.doi.org/10.14207/ejsd.2018.v7n3p131" TargetMode="External" Id="rId152"/><Relationship Type="http://schemas.openxmlformats.org/officeDocument/2006/relationships/hyperlink" Target="http://dx.doi.org/10.14207/ejsd.2018.v7n3p120" TargetMode="External" Id="rId153"/><Relationship Type="http://schemas.openxmlformats.org/officeDocument/2006/relationships/hyperlink" Target="http://dx.doi.org/10.1590/s1678-86212017000100136" TargetMode="External" Id="rId154"/><Relationship Type="http://schemas.openxmlformats.org/officeDocument/2006/relationships/hyperlink" Target="http://dx.doi.org/10.1590/s1678-86212017000400193" TargetMode="External" Id="rId155"/><Relationship Type="http://schemas.openxmlformats.org/officeDocument/2006/relationships/hyperlink" Target="http://dx.doi.org/10.1590/s1678-86212017000100127" TargetMode="External" Id="rId156"/><Relationship Type="http://schemas.openxmlformats.org/officeDocument/2006/relationships/hyperlink" Target="http://dx.doi.org/10.1590/s1678-86212017000200150" TargetMode="External" Id="rId157"/><Relationship Type="http://schemas.openxmlformats.org/officeDocument/2006/relationships/hyperlink" Target="http://dx.doi.org/10.1016/j.rser.2016.11.002" TargetMode="External" Id="rId158"/><Relationship Type="http://schemas.openxmlformats.org/officeDocument/2006/relationships/hyperlink" Target="http://dx.doi.org/10.1016/j.rser.2017.01.087" TargetMode="External" Id="rId159"/><Relationship Type="http://schemas.openxmlformats.org/officeDocument/2006/relationships/hyperlink" Target="http://dx.doi.org/10.1016/j.watres.2017.02.056" TargetMode="External" Id="rId160"/><Relationship Type="http://schemas.openxmlformats.org/officeDocument/2006/relationships/hyperlink" Target="http://dx.doi.org/10.1016/j.enbuild.2017.03.039" TargetMode="External" Id="rId161"/><Relationship Type="http://schemas.openxmlformats.org/officeDocument/2006/relationships/hyperlink" Target="http://dx.doi.org/10.1177/0037549717706171" TargetMode="External" Id="rId162"/><Relationship Type="http://schemas.openxmlformats.org/officeDocument/2006/relationships/hyperlink" Target="http://dx.doi.org/10.1016/j.resconrec.2017.06.011" TargetMode="External" Id="rId163"/><Relationship Type="http://schemas.openxmlformats.org/officeDocument/2006/relationships/hyperlink" Target="http://dx.doi.org/10.2166/ws.2015.137" TargetMode="External" Id="rId164"/><Relationship Type="http://schemas.openxmlformats.org/officeDocument/2006/relationships/hyperlink" Target="http://dx.doi.org/10.2166/ws.2015.166" TargetMode="External" Id="rId165"/><Relationship Type="http://schemas.openxmlformats.org/officeDocument/2006/relationships/hyperlink" Target="http://dx.doi.org/10.1016/j.rser.2015.12.334" TargetMode="External" Id="rId166"/><Relationship Type="http://schemas.openxmlformats.org/officeDocument/2006/relationships/hyperlink" Target="http://dx.doi.org/10.1016/j.buildenv.2016.03.004" TargetMode="External" Id="rId167"/><Relationship Type="http://schemas.openxmlformats.org/officeDocument/2006/relationships/hyperlink" Target="http://dx.doi.org/10.3390/w8040110" TargetMode="External" Id="rId168"/><Relationship Type="http://schemas.openxmlformats.org/officeDocument/2006/relationships/hyperlink" Target="http://dx.doi.org/10.1016/j.jenvman.2016.05.028" TargetMode="External" Id="rId169"/><Relationship Type="http://schemas.openxmlformats.org/officeDocument/2006/relationships/hyperlink" Target="http://dx.doi.org/10.1016/j.jclepro.2016.05.104" TargetMode="External" Id="rId170"/><Relationship Type="http://schemas.openxmlformats.org/officeDocument/2006/relationships/hyperlink" Target="http://dx.doi.org/10.1016/j.jclepro.2016.06.072" TargetMode="External" Id="rId171"/><Relationship Type="http://schemas.openxmlformats.org/officeDocument/2006/relationships/hyperlink" Target="http://dx.doi.org/10.1016/j.enbuild.2016.06.084" TargetMode="External" Id="rId172"/><Relationship Type="http://schemas.openxmlformats.org/officeDocument/2006/relationships/hyperlink" Target="http://dx.doi.org/10.1016/j.enbuild.2016.07.001" TargetMode="External" Id="rId173"/><Relationship Type="http://schemas.openxmlformats.org/officeDocument/2006/relationships/hyperlink" Target="http://dx.doi.org/10.1016/j.enbuild.2016.07.067" TargetMode="External" Id="rId174"/><Relationship Type="http://schemas.openxmlformats.org/officeDocument/2006/relationships/hyperlink" Target="http://dx.doi.org/10.1016/j.enbuild.2016.10.025" TargetMode="External" Id="rId175"/><Relationship Type="http://schemas.openxmlformats.org/officeDocument/2006/relationships/hyperlink" Target="http://dx.doi.org/10.1016/j.jclepro.2015.06.075" TargetMode="External" Id="rId176"/><Relationship Type="http://schemas.openxmlformats.org/officeDocument/2006/relationships/hyperlink" Target="http://dx.doi.org/10.1016/j.rser.2013.08.102" TargetMode="External" Id="rId177"/><Relationship Type="http://schemas.openxmlformats.org/officeDocument/2006/relationships/hyperlink" Target="http://dx.doi.org/10.5278/ijsepm.2014.2.2" TargetMode="External" Id="rId178"/><Relationship Type="http://schemas.openxmlformats.org/officeDocument/2006/relationships/hyperlink" Target="http://dx.doi.org/10.1016/j.enbuild.2014.02.070" TargetMode="External" Id="rId179"/><Relationship Type="http://schemas.openxmlformats.org/officeDocument/2006/relationships/hyperlink" Target="http://dx.doi.org/10.1016/j.rser.2014.03.012" TargetMode="External" Id="rId180"/><Relationship Type="http://schemas.openxmlformats.org/officeDocument/2006/relationships/hyperlink" Target="http://dx.doi.org/10.1016/j.enbuild.2014.03.001" TargetMode="External" Id="rId181"/><Relationship Type="http://schemas.openxmlformats.org/officeDocument/2006/relationships/hyperlink" Target="http://dx.doi.org/10.1590/S1678-86212014000100016" TargetMode="External" Id="rId182"/><Relationship Type="http://schemas.openxmlformats.org/officeDocument/2006/relationships/hyperlink" Target="http://dx.doi.org/10.1016/j.resconrec.2014.04.001" TargetMode="External" Id="rId183"/><Relationship Type="http://schemas.openxmlformats.org/officeDocument/2006/relationships/hyperlink" Target="http://dx.doi.org/10.3390/w6071985" TargetMode="External" Id="rId184"/><Relationship Type="http://schemas.openxmlformats.org/officeDocument/2006/relationships/hyperlink" Target="https://www.researchgate.net/publication/289385211_Investment_feasibility_analysis_of_rainwater_harvesting_in_the_city_of_Itapiranga_Brazil" TargetMode="External" Id="rId185"/><Relationship Type="http://schemas.openxmlformats.org/officeDocument/2006/relationships/hyperlink" Target="http://dx.doi.org/10.18830/issn.1679-0944.n12.2014.12295" TargetMode="External" Id="rId186"/><Relationship Type="http://schemas.openxmlformats.org/officeDocument/2006/relationships/hyperlink" Target="http://dx.doi.org/10.18830/issn.1679-0944.n12.2014.12297" TargetMode="External" Id="rId187"/><Relationship Type="http://schemas.openxmlformats.org/officeDocument/2006/relationships/hyperlink" Target="http://dx.doi.org/10.1590/s1678-86212014000400008" TargetMode="External" Id="rId188"/><Relationship Type="http://schemas.openxmlformats.org/officeDocument/2006/relationships/hyperlink" Target="http://dx.doi.org/10.1007/s11269-012-0203-1" TargetMode="External" Id="rId189"/><Relationship Type="http://schemas.openxmlformats.org/officeDocument/2006/relationships/hyperlink" Target="http://dx.doi.org/10.1007/s11269-013-0303-6" TargetMode="External" Id="rId190"/><Relationship Type="http://schemas.openxmlformats.org/officeDocument/2006/relationships/hyperlink" Target="http://dx.doi.org/10.1590/s1678-86212013000100010" TargetMode="External" Id="rId191"/><Relationship Type="http://schemas.openxmlformats.org/officeDocument/2006/relationships/hyperlink" Target="http://dx.doi.org/10.1016/j.resconrec.2013.06.008" TargetMode="External" Id="rId192"/><Relationship Type="http://schemas.openxmlformats.org/officeDocument/2006/relationships/hyperlink" Target="http://dx.doi.org/10.1590/s1678-86212013000400010" TargetMode="External" Id="rId193"/><Relationship Type="http://schemas.openxmlformats.org/officeDocument/2006/relationships/hyperlink" Target="http://dx.doi.org/10.1590/S1678-86212013000400006" TargetMode="External" Id="rId194"/><Relationship Type="http://schemas.openxmlformats.org/officeDocument/2006/relationships/hyperlink" Target="http://dx.doi.org/10.1016/j.jenvman.2011.12.031" TargetMode="External" Id="rId195"/><Relationship Type="http://schemas.openxmlformats.org/officeDocument/2006/relationships/hyperlink" Target="http://dx.doi.org/10.3390/w4030607" TargetMode="External" Id="rId196"/><Relationship Type="http://schemas.openxmlformats.org/officeDocument/2006/relationships/hyperlink" Target="http://dx.doi.org/10.1590/s1678-86212012000300005" TargetMode="External" Id="rId197"/><Relationship Type="http://schemas.openxmlformats.org/officeDocument/2006/relationships/hyperlink" Target="http://dx.doi.org/10.1016/j.resconrec.2011.05.003" TargetMode="External" Id="rId198"/><Relationship Type="http://schemas.openxmlformats.org/officeDocument/2006/relationships/hyperlink" Target="http://dx.doi.org/10.1016/j.enbuild.2011.09.001" TargetMode="External" Id="rId199"/><Relationship Type="http://schemas.openxmlformats.org/officeDocument/2006/relationships/hyperlink" Target="http://dx.doi.org/10.1590/s1678-86212011000400005" TargetMode="External" Id="rId200"/><Relationship Type="http://schemas.openxmlformats.org/officeDocument/2006/relationships/hyperlink" Target="http://dx.doi.org/10.1590/s1678-86212011000400006" TargetMode="External" Id="rId201"/><Relationship Type="http://schemas.openxmlformats.org/officeDocument/2006/relationships/hyperlink" Target="http://dx.doi.org/10.1016/j.resconrec.2009.10.005" TargetMode="External" Id="rId202"/><Relationship Type="http://schemas.openxmlformats.org/officeDocument/2006/relationships/hyperlink" Target="http://dx.doi.org/10.1016/j.rser.2010.03.040" TargetMode="External" Id="rId203"/><Relationship Type="http://schemas.openxmlformats.org/officeDocument/2006/relationships/hyperlink" Target="http://dx.doi.org/10.1590/S1678-86212010000200011" TargetMode="External" Id="rId204"/><Relationship Type="http://schemas.openxmlformats.org/officeDocument/2006/relationships/hyperlink" Target="http://dx.doi.org/10.1007/s11269-009-9557-4" TargetMode="External" Id="rId205"/><Relationship Type="http://schemas.openxmlformats.org/officeDocument/2006/relationships/hyperlink" Target="https://seer.ufrgs.br/index.php/ambienteconstruido/article/view/7718" TargetMode="External" Id="rId206"/><Relationship Type="http://schemas.openxmlformats.org/officeDocument/2006/relationships/hyperlink" Target="http://dx.doi.org/10.1016/j.resconrec.2009.06.010" TargetMode="External" Id="rId207"/><Relationship Type="http://schemas.openxmlformats.org/officeDocument/2006/relationships/hyperlink" Target="https://seer.ufrgs.br/ambienteconstruido/article/view/5355" TargetMode="External" Id="rId208"/><Relationship Type="http://schemas.openxmlformats.org/officeDocument/2006/relationships/hyperlink" Target="https://seer.ufrgs.br/index.php/ambienteconstruido/article/view/5379" TargetMode="External" Id="rId209"/><Relationship Type="http://schemas.openxmlformats.org/officeDocument/2006/relationships/hyperlink" Target="http://dx.doi.org/10.1016/j.buildenv.2005.10.026" TargetMode="External" Id="rId210"/><Relationship Type="http://schemas.openxmlformats.org/officeDocument/2006/relationships/hyperlink" Target="http://dx.doi.org/10.1016/j.buildenv.2006.02.001" TargetMode="External" Id="rId211"/><Relationship Type="http://schemas.openxmlformats.org/officeDocument/2006/relationships/hyperlink" Target="http://dx.doi.org/10.1016/j.buildenv.2006.02.007" TargetMode="External" Id="rId212"/><Relationship Type="http://schemas.openxmlformats.org/officeDocument/2006/relationships/hyperlink" Target="http://dx.doi.org/10.1016/j.buildenv.2006.07.019" TargetMode="External" Id="rId213"/><Relationship Type="http://schemas.openxmlformats.org/officeDocument/2006/relationships/hyperlink" Target="http://dx.doi.org/10.1016/j.enpol.2007.02.020" TargetMode="External" Id="rId214"/><Relationship Type="http://schemas.openxmlformats.org/officeDocument/2006/relationships/hyperlink" Target="http://dx.doi.org/10.1016/j.buildenv.2005.01.014" TargetMode="External" Id="rId215"/><Relationship Type="http://schemas.openxmlformats.org/officeDocument/2006/relationships/hyperlink" Target="http://dx.doi.org/10.1016/j.buildenv.2005.03.018" TargetMode="External" Id="rId216"/><Relationship Type="http://schemas.openxmlformats.org/officeDocument/2006/relationships/hyperlink" Target="https://seer.ufrgs.br/index.php/ambienteconstruido/article/view/3681" TargetMode="External" Id="rId217"/><Relationship Type="http://schemas.openxmlformats.org/officeDocument/2006/relationships/hyperlink" Target="http://dx.doi.org/10.1016/j.buildenv.2005.06.013" TargetMode="External" Id="rId218"/><Relationship Type="http://schemas.openxmlformats.org/officeDocument/2006/relationships/hyperlink" Target="http://dx.doi.org/10.1016/j.buildenv.2004.04.004" TargetMode="External" Id="rId219"/><Relationship Type="http://schemas.openxmlformats.org/officeDocument/2006/relationships/hyperlink" Target="https://seer.ufrgs.br/ambienteconstruido/article/view/3659" TargetMode="External" Id="rId220"/><Relationship Type="http://schemas.openxmlformats.org/officeDocument/2006/relationships/hyperlink" Target="https://seer.ufrgs.br/index.php/ambienteconstruido/article/view/3560" TargetMode="External" Id="rId2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3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19" min="1" max="2"/>
    <col width="4" customWidth="1" style="19" min="3" max="3"/>
    <col width="12" customWidth="1" style="19" min="4" max="4"/>
    <col width="60" customWidth="1" style="19" min="5" max="8"/>
    <col width="101.14" customWidth="1" style="19" min="9" max="9"/>
    <col width="21.29" customWidth="1" style="19" min="10" max="10"/>
    <col width="23.86" customWidth="1" style="19" min="11" max="12"/>
    <col width="21.57" customWidth="1" style="19" min="13" max="13"/>
    <col width="20.43" customWidth="1" style="19" min="14" max="14"/>
    <col width="19.71" customWidth="1" style="19" min="15" max="16"/>
    <col width="8.710000000000001" customWidth="1" style="19" min="17" max="18"/>
    <col width="28.43" customWidth="1" style="19" min="19" max="19"/>
    <col width="8.710000000000001" customWidth="1" style="19" min="20" max="30"/>
  </cols>
  <sheetData>
    <row r="1" ht="14.25" customHeight="1" s="19">
      <c r="A1" s="1" t="inlineStr">
        <is>
          <t>Tabela de Artigos e Publicações Científicas</t>
        </is>
      </c>
    </row>
    <row r="2" ht="14.25" customHeight="1" s="19">
      <c r="A2" s="2" t="inlineStr">
        <is>
          <t>Preencha ou modifique os dados nas colunas abaixo para atualizar a plataforma.</t>
        </is>
      </c>
    </row>
    <row r="3" ht="14.25" customHeight="1" s="19">
      <c r="S3" s="17" t="inlineStr">
        <is>
          <t>Número tags</t>
        </is>
      </c>
    </row>
    <row r="4" ht="14.25" customHeight="1" s="19">
      <c r="A4" s="4" t="n"/>
      <c r="B4" s="4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S4" s="6">
        <f>IFERROR(__xludf.DUMMYFUNCTION("COUNTUNIQUE(S5:S1828)-1"),55.0)</f>
        <v/>
      </c>
    </row>
    <row r="5" ht="14.25" customHeight="1" s="19">
      <c r="A5" s="9" t="n"/>
      <c r="B5" s="9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</row>
    <row r="6" ht="14.25" customHeight="1" s="19">
      <c r="A6" s="9" t="inlineStr">
        <is>
          <t>Verificado?</t>
        </is>
      </c>
      <c r="B6" s="9" t="inlineStr">
        <is>
          <t>Responsável</t>
        </is>
      </c>
      <c r="C6" s="11" t="inlineStr">
        <is>
          <t>ID</t>
        </is>
      </c>
      <c r="D6" s="11" t="inlineStr">
        <is>
          <t>Ano</t>
        </is>
      </c>
      <c r="E6" s="11" t="inlineStr">
        <is>
          <t>Titulo</t>
        </is>
      </c>
      <c r="F6" s="11" t="inlineStr">
        <is>
          <t>Autores</t>
        </is>
      </c>
      <c r="G6" s="11" t="inlineStr">
        <is>
          <t>Revista_Publicacao</t>
        </is>
      </c>
      <c r="H6" s="11" t="inlineStr">
        <is>
          <t>DOI_Link</t>
        </is>
      </c>
      <c r="I6" s="11" t="inlineStr">
        <is>
          <t>Tags_PalavrasChave</t>
        </is>
      </c>
      <c r="J6" s="11" t="inlineStr">
        <is>
          <t>Tags_PalavrasChave1</t>
        </is>
      </c>
      <c r="K6" s="11" t="inlineStr">
        <is>
          <t>Tags_PalavrasChave2</t>
        </is>
      </c>
      <c r="L6" s="11" t="inlineStr">
        <is>
          <t>Tags_PalavrasChave3</t>
        </is>
      </c>
      <c r="M6" s="11" t="inlineStr">
        <is>
          <t>Tags_PalavrasChave4</t>
        </is>
      </c>
      <c r="N6" s="11" t="inlineStr">
        <is>
          <t>Tags_PalavrasChave5</t>
        </is>
      </c>
      <c r="O6" s="11" t="inlineStr">
        <is>
          <t>Tags_PalavrasChave6</t>
        </is>
      </c>
      <c r="P6" s="11" t="inlineStr">
        <is>
          <t>Tags_PalavrasChave7</t>
        </is>
      </c>
      <c r="Q6" s="0" t="inlineStr">
        <is>
          <t>Tags_PalavrasChave8</t>
        </is>
      </c>
      <c r="S6" s="17" t="inlineStr">
        <is>
          <t>Tags</t>
        </is>
      </c>
    </row>
    <row r="7" ht="14.25" customHeight="1" s="19">
      <c r="A7" s="18" t="inlineStr">
        <is>
          <t>OK</t>
        </is>
      </c>
      <c r="B7" s="18" t="inlineStr">
        <is>
          <t>Igor</t>
        </is>
      </c>
      <c r="C7" s="16" t="n">
        <v>1</v>
      </c>
      <c r="D7" s="16" t="inlineStr">
        <is>
          <t>2026</t>
        </is>
      </c>
      <c r="E7" s="16" t="inlineStr">
        <is>
          <t>Assessing the energy performance of buildings based on LEED Certification: How suitable is the ASHRAE model for Brazilian climates?</t>
        </is>
      </c>
      <c r="F7" s="16" t="inlineStr">
        <is>
          <t>RIBEIRO, L. M. L.; SCOLARO, T. P.; Ghisi, Enedir</t>
        </is>
      </c>
      <c r="G7" s="16" t="inlineStr">
        <is>
          <t>ENERGY AND BUILDINGS, v. 351, p. 116766, 2026. Citações:2</t>
        </is>
      </c>
      <c r="H7" s="14" t="inlineStr">
        <is>
          <t>http://dx.doi.org/10.1016/j.enbuild.2025.116766</t>
        </is>
      </c>
      <c r="I7" s="16" t="inlineStr">
        <is>
          <t>Eletricidade, Conforto-Termico, Simulacao-Computacional, Certificacao-Ambiental, Eficiencia-Energetica</t>
        </is>
      </c>
      <c r="J7" s="16" t="inlineStr">
        <is>
          <t>Eletricidade</t>
        </is>
      </c>
      <c r="K7" s="16" t="inlineStr">
        <is>
          <t>Conforto-Termico</t>
        </is>
      </c>
      <c r="L7" s="16" t="inlineStr">
        <is>
          <t>Simulacao-Computacional</t>
        </is>
      </c>
      <c r="M7" s="16" t="inlineStr">
        <is>
          <t>Certificacao-Ambiental</t>
        </is>
      </c>
      <c r="N7" s="18" t="inlineStr">
        <is>
          <t>Eficiencia-Energetica</t>
        </is>
      </c>
      <c r="O7" s="16" t="n"/>
      <c r="P7" s="18" t="n"/>
      <c r="S7" s="17">
        <f>IFERROR(__xludf.DUMMYFUNCTION("SORT(FILTER(UNIQUE(FLATTEN(J7:P227)), UNIQUE(FLATTEN(J7:P227))&lt;&gt;""""))"),"ACV")</f>
        <v/>
      </c>
      <c r="T7" s="17">
        <f>countif(J7:P1828,S7)</f>
        <v/>
      </c>
    </row>
    <row r="8" ht="14.25" customHeight="1" s="19">
      <c r="A8" s="18" t="inlineStr">
        <is>
          <t>OK</t>
        </is>
      </c>
      <c r="B8" s="18" t="inlineStr">
        <is>
          <t>Igor</t>
        </is>
      </c>
      <c r="C8" s="16" t="n">
        <v>2</v>
      </c>
      <c r="D8" s="16" t="inlineStr">
        <is>
          <t>2026</t>
        </is>
      </c>
      <c r="E8" s="16" t="inlineStr">
        <is>
          <t>A comparative analysis of thermal discomfort assessment approaches in residential buildings under different solar orientations and use patterns</t>
        </is>
      </c>
      <c r="F8" s="16" t="inlineStr">
        <is>
          <t>BARBOSA, K. H.; SCOLARO, T. P.; GHISI, E.</t>
        </is>
      </c>
      <c r="G8" s="16" t="inlineStr">
        <is>
          <t>Sustainability, v. 18, p. 892, 2026</t>
        </is>
      </c>
      <c r="H8" s="14" t="inlineStr">
        <is>
          <t>http://dx.doi.org/10.3390/su18020892</t>
        </is>
      </c>
      <c r="I8" s="16" t="inlineStr">
        <is>
          <t>Conforto-Termico, Residencial-Unifamiliar, Comportamento-Usuario</t>
        </is>
      </c>
      <c r="J8" s="16" t="inlineStr">
        <is>
          <t>Conforto-Termico</t>
        </is>
      </c>
      <c r="K8" s="16" t="inlineStr">
        <is>
          <t>Residencial-Unifamiliar</t>
        </is>
      </c>
      <c r="L8" s="16" t="inlineStr">
        <is>
          <t>Comportamento-Usuario</t>
        </is>
      </c>
      <c r="M8" s="16" t="n"/>
      <c r="N8" s="16" t="n"/>
      <c r="O8" s="16" t="n"/>
      <c r="P8" s="18" t="n"/>
      <c r="S8" s="17">
        <f>IFERROR(__xludf.DUMMYFUNCTION("""COMPUTED_VALUE"""),"Agua-Cinza")</f>
        <v/>
      </c>
      <c r="T8" s="17">
        <f>countif(J8:P1829,S8)</f>
        <v/>
      </c>
    </row>
    <row r="9" ht="14.25" customHeight="1" s="19">
      <c r="A9" s="18" t="inlineStr">
        <is>
          <t>OK</t>
        </is>
      </c>
      <c r="B9" s="18" t="inlineStr">
        <is>
          <t>Igor</t>
        </is>
      </c>
      <c r="C9" s="16" t="n">
        <v>3</v>
      </c>
      <c r="D9" s="16" t="inlineStr">
        <is>
          <t>2026</t>
        </is>
      </c>
      <c r="E9" s="16" t="inlineStr">
        <is>
          <t>Thermal Discomfort Patterns in Office Buildings in a Humid Subtropical Climate Under Actual-Use Conditions</t>
        </is>
      </c>
      <c r="F9" s="16" t="inlineStr">
        <is>
          <t>MULLER, BEATRIZ BAYESTORFF; SCOLARO, T. P.; RUPP, R.F.; GHISI, E.</t>
        </is>
      </c>
      <c r="G9" s="16" t="inlineStr">
        <is>
          <t>Buildings, v. 16, p. 934, 2026</t>
        </is>
      </c>
      <c r="H9" s="14" t="inlineStr">
        <is>
          <t>http://dx.doi.org/10.3390/buildings16050934</t>
        </is>
      </c>
      <c r="I9" s="16" t="inlineStr">
        <is>
          <t>Conforto-Termico, Comercial-Escritorio, Comportamento-Usuario, Estudo-Campo</t>
        </is>
      </c>
      <c r="J9" s="16" t="inlineStr">
        <is>
          <t>Conforto-Termico</t>
        </is>
      </c>
      <c r="K9" s="16" t="inlineStr">
        <is>
          <t>Comercial-Escritorio</t>
        </is>
      </c>
      <c r="L9" s="16" t="inlineStr">
        <is>
          <t>Comportamento-Usuario</t>
        </is>
      </c>
      <c r="M9" s="16" t="inlineStr">
        <is>
          <t>Estudo-Campo</t>
        </is>
      </c>
      <c r="N9" s="16" t="n"/>
      <c r="O9" s="16" t="n"/>
      <c r="P9" s="18" t="n"/>
      <c r="S9" s="17">
        <f>IFERROR(__xludf.DUMMYFUNCTION("""COMPUTED_VALUE"""),"Agua-Pluvial")</f>
        <v/>
      </c>
      <c r="T9" s="17">
        <f>countif(J9:P1830,S9)</f>
        <v/>
      </c>
    </row>
    <row r="10" ht="14.25" customHeight="1" s="19">
      <c r="A10" s="18" t="inlineStr">
        <is>
          <t>OK</t>
        </is>
      </c>
      <c r="B10" s="18" t="inlineStr">
        <is>
          <t>Igor</t>
        </is>
      </c>
      <c r="C10" s="16" t="n">
        <v>4</v>
      </c>
      <c r="D10" s="16" t="inlineStr">
        <is>
          <t>2026</t>
        </is>
      </c>
      <c r="E10" s="16" t="inlineStr">
        <is>
          <t>Flood Event Escalation and Urban Drainage Design Implications Under Nonstationary Rainfall in São Paulo State, Brazil</t>
        </is>
      </c>
      <c r="F10" s="16" t="inlineStr">
        <is>
          <t>BRANDÃO, ABDERRAMAN R. A.; CASTRO, MARIA A. R. A.; SÁNCHEZ, MATEO H.; GOMES, MARCUS N.; UCHÔA, JOSÉ GESCILAM S. M.; VAZ, IGOR C. M.; Ghisi, Enedir; ANACHE, JAMIL A. A.; WENDLAND, EDSON C.; OLIVEIRA, PAULO T. S.; MENDIONDO, EDUARDO M.; BALLARIN, ANDRÉ S.</t>
        </is>
      </c>
      <c r="G10" s="16" t="inlineStr">
        <is>
          <t>Water, v. 18, p. 561, 2026</t>
        </is>
      </c>
      <c r="H10" s="14" t="inlineStr">
        <is>
          <t>http://dx.doi.org/10.3390/w18050561</t>
        </is>
      </c>
      <c r="I10" s="16" t="inlineStr">
        <is>
          <t>Agua-Pluvial, Escala-Urbana, Mudancas-Climaticas, Hidraulica, Precipitacao</t>
        </is>
      </c>
      <c r="J10" s="16" t="inlineStr">
        <is>
          <t>Agua-Pluvial</t>
        </is>
      </c>
      <c r="K10" s="16" t="inlineStr">
        <is>
          <t>Escala-Urbana</t>
        </is>
      </c>
      <c r="L10" s="16" t="inlineStr">
        <is>
          <t>Mudancas-Climaticas</t>
        </is>
      </c>
      <c r="M10" s="16" t="inlineStr">
        <is>
          <t>Hidraulica</t>
        </is>
      </c>
      <c r="N10" s="16" t="inlineStr">
        <is>
          <t>Precipitacao</t>
        </is>
      </c>
      <c r="O10" s="16" t="n"/>
      <c r="P10" s="18" t="n"/>
      <c r="S10" s="17">
        <f>IFERROR(__xludf.DUMMYFUNCTION("""COMPUTED_VALUE"""),"Agua-Potavel")</f>
        <v/>
      </c>
      <c r="T10" s="17">
        <f>countif(J10:P1831,S10)</f>
        <v/>
      </c>
    </row>
    <row r="11" ht="14.25" customHeight="1" s="19">
      <c r="A11" s="18" t="inlineStr">
        <is>
          <t>OK</t>
        </is>
      </c>
      <c r="B11" s="18" t="inlineStr">
        <is>
          <t>Igor</t>
        </is>
      </c>
      <c r="C11" s="16" t="n">
        <v>5</v>
      </c>
      <c r="D11" s="16" t="inlineStr">
        <is>
          <t>2026</t>
        </is>
      </c>
      <c r="E11" s="16" t="inlineStr">
        <is>
          <t>Impacts of the operational phase on the life cycle cost of permeable pavements</t>
        </is>
      </c>
      <c r="F11" s="16" t="inlineStr">
        <is>
          <t>ANTUNES, LUCAS NIEHUNS; SCOLARO, TAYLANA PICCININI; Ghisi, Enedir</t>
        </is>
      </c>
      <c r="G11" s="16" t="inlineStr">
        <is>
          <t>SCIENCE OF THE TOTAL ENVIRONMENT, v. 1030, p. 181801, 2026</t>
        </is>
      </c>
      <c r="H11" s="14" t="inlineStr">
        <is>
          <t>http://dx.doi.org/10.1016/j.scitotenv.2026.181801</t>
        </is>
      </c>
      <c r="I11" s="16" t="inlineStr">
        <is>
          <t>Pavimento-Permeavel, CCV, Aproveitamento-agua-chuva, Agua-Pluvial</t>
        </is>
      </c>
      <c r="J11" s="16" t="inlineStr">
        <is>
          <t>Pavimento-Permeavel</t>
        </is>
      </c>
      <c r="K11" s="16" t="inlineStr">
        <is>
          <t>CCV</t>
        </is>
      </c>
      <c r="L11" s="16" t="inlineStr">
        <is>
          <t>Aproveitamento-agua-chuva</t>
        </is>
      </c>
      <c r="M11" s="16" t="inlineStr">
        <is>
          <t>Agua-Pluvial</t>
        </is>
      </c>
      <c r="N11" s="16" t="n"/>
      <c r="O11" s="16" t="n"/>
      <c r="P11" s="18" t="n"/>
      <c r="S11" s="17">
        <f>IFERROR(__xludf.DUMMYFUNCTION("""COMPUTED_VALUE"""),"Analise-Agrupamento")</f>
        <v/>
      </c>
      <c r="T11" s="17">
        <f>countif(J11:P1832,S11)</f>
        <v/>
      </c>
    </row>
    <row r="12" ht="14.25" customHeight="1" s="19">
      <c r="A12" s="18" t="inlineStr">
        <is>
          <t>OK</t>
        </is>
      </c>
      <c r="B12" s="18" t="inlineStr">
        <is>
          <t>Igor</t>
        </is>
      </c>
      <c r="C12" s="16" t="n">
        <v>6</v>
      </c>
      <c r="D12" s="16" t="inlineStr">
        <is>
          <t>2026</t>
        </is>
      </c>
      <c r="E12" s="16" t="inlineStr">
        <is>
          <t>How Rainwater Harvesting Bridges the Water-Energy Nexus in Buildings: A Systematic Review</t>
        </is>
      </c>
      <c r="F12" s="16" t="inlineStr">
        <is>
          <t>ONEDA, T. M. S.; GHISI, E.</t>
        </is>
      </c>
      <c r="G12" s="16" t="inlineStr">
        <is>
          <t>Water, v. 18, p. 1495, 2026</t>
        </is>
      </c>
      <c r="H12" s="14" t="inlineStr">
        <is>
          <t>http://dx.doi.org/10.3390/w18121495</t>
        </is>
      </c>
      <c r="I12" s="16" t="inlineStr">
        <is>
          <t>Agua-Pluvial, Eletricidade, Revisao-Literatura, Aproveitamento-agua-chuva</t>
        </is>
      </c>
      <c r="J12" s="16" t="inlineStr">
        <is>
          <t>Agua-Pluvial</t>
        </is>
      </c>
      <c r="K12" s="16" t="inlineStr">
        <is>
          <t>Eletricidade</t>
        </is>
      </c>
      <c r="L12" s="16" t="inlineStr">
        <is>
          <t>Revisao-Literatura</t>
        </is>
      </c>
      <c r="M12" s="16" t="inlineStr">
        <is>
          <t>Aproveitamento-agua-chuva</t>
        </is>
      </c>
      <c r="N12" s="16" t="n"/>
      <c r="O12" s="16" t="n"/>
      <c r="P12" s="18" t="n"/>
      <c r="S12" s="17">
        <f>IFERROR(__xludf.DUMMYFUNCTION("""COMPUTED_VALUE"""),"Analise-Incerteza")</f>
        <v/>
      </c>
      <c r="T12" s="17">
        <f>countif(J12:P1833,S12)</f>
        <v/>
      </c>
    </row>
    <row r="13" ht="14.25" customHeight="1" s="19">
      <c r="A13" s="18" t="inlineStr">
        <is>
          <t>OK</t>
        </is>
      </c>
      <c r="B13" s="18" t="inlineStr">
        <is>
          <t>Igor</t>
        </is>
      </c>
      <c r="C13" s="16" t="n">
        <v>7</v>
      </c>
      <c r="D13" s="16" t="inlineStr">
        <is>
          <t>2026</t>
        </is>
      </c>
      <c r="E13" s="16" t="inlineStr">
        <is>
          <t>The Influence of Thermal Disposition on the Thermal Comfort of Users of Mixed-Mode Buildings in a Subtropical Climate</t>
        </is>
      </c>
      <c r="F13" s="16" t="inlineStr">
        <is>
          <t>PINHO, MARIANA MINATI DE; GHISI, E.; RUPP, R.F.</t>
        </is>
      </c>
      <c r="G13" s="16" t="inlineStr">
        <is>
          <t>Buildings, v. 16, p. 2515, 2026</t>
        </is>
      </c>
      <c r="H13" s="14" t="inlineStr">
        <is>
          <t>http://dx.doi.org/10.3390/buildings16132515</t>
        </is>
      </c>
      <c r="I13" s="16" t="inlineStr">
        <is>
          <t>Conforto-Termico, Comportamento-Usuario, Comercial-Escritorio, Estudo-Campo, Ventilacao</t>
        </is>
      </c>
      <c r="J13" s="16" t="inlineStr">
        <is>
          <t>Conforto-Termico</t>
        </is>
      </c>
      <c r="K13" s="16" t="inlineStr">
        <is>
          <t>Comportamento-Usuario</t>
        </is>
      </c>
      <c r="L13" s="16" t="inlineStr">
        <is>
          <t>Comercial-Escritorio</t>
        </is>
      </c>
      <c r="M13" s="16" t="inlineStr">
        <is>
          <t>Estudo-Campo</t>
        </is>
      </c>
      <c r="N13" s="16" t="inlineStr">
        <is>
          <t>Ventilacao</t>
        </is>
      </c>
      <c r="O13" s="16" t="n"/>
      <c r="P13" s="18" t="n"/>
      <c r="S13" s="17">
        <f>IFERROR(__xludf.DUMMYFUNCTION("""COMPUTED_VALUE"""),"Analise-Sensibilidade")</f>
        <v/>
      </c>
      <c r="T13" s="17">
        <f>countif(J13:P1834,S13)</f>
        <v/>
      </c>
    </row>
    <row r="14" ht="14.25" customHeight="1" s="19">
      <c r="A14" s="18" t="inlineStr">
        <is>
          <t>OK</t>
        </is>
      </c>
      <c r="B14" s="18" t="inlineStr">
        <is>
          <t>Igor</t>
        </is>
      </c>
      <c r="C14" s="16" t="n">
        <v>8</v>
      </c>
      <c r="D14" s="16" t="inlineStr">
        <is>
          <t>2026</t>
        </is>
      </c>
      <c r="E14" s="16" t="inlineStr">
        <is>
          <t>Projected Climate Change Impacts on Rainwater Harvesting in Brazilian Single-Family Houses</t>
        </is>
      </c>
      <c r="F14" s="16" t="inlineStr">
        <is>
          <t>VAZ, I. C. M.; TESTON, A.; RODRIGUES, EUGÉNIO MIGUEL DE SOUSA; GHISI, E.; BALLARIN, A. S.; BRANDÃO, ABDERRAMAN R. A.</t>
        </is>
      </c>
      <c r="G14" s="16" t="inlineStr">
        <is>
          <t>Water, v. 18, p. 792, 2026</t>
        </is>
      </c>
      <c r="H14" s="14" t="inlineStr">
        <is>
          <t>http://dx.doi.org/10.3390/w18070792</t>
        </is>
      </c>
      <c r="I14" s="16" t="inlineStr">
        <is>
          <t>Agua-Pluvial, Mudancas-Climaticas, Residencial-Unifamiliar, Habitacao-Interesse-Social, Precipitacao, Aproveitamento-agua-chuva</t>
        </is>
      </c>
      <c r="J14" s="16" t="inlineStr">
        <is>
          <t>Agua-Pluvial</t>
        </is>
      </c>
      <c r="K14" s="16" t="inlineStr">
        <is>
          <t>Mudancas-Climaticas</t>
        </is>
      </c>
      <c r="L14" s="16" t="inlineStr">
        <is>
          <t>Residencial-Unifamiliar</t>
        </is>
      </c>
      <c r="M14" s="16" t="inlineStr">
        <is>
          <t>Habitacao-Interesse-Social</t>
        </is>
      </c>
      <c r="N14" s="16" t="inlineStr">
        <is>
          <t>Precipitacao</t>
        </is>
      </c>
      <c r="O14" s="16" t="inlineStr">
        <is>
          <t>Aproveitamento-agua-chuva</t>
        </is>
      </c>
      <c r="P14" s="18" t="n"/>
      <c r="S14" s="17">
        <f>IFERROR(__xludf.DUMMYFUNCTION("""COMPUTED_VALUE"""),"Aproveitamento-agua-chuva")</f>
        <v/>
      </c>
      <c r="T14" s="17">
        <f>countif(J14:P1835,S14)</f>
        <v/>
      </c>
    </row>
    <row r="15" ht="14.25" customHeight="1" s="19">
      <c r="A15" s="0" t="inlineStr">
        <is>
          <t>OK</t>
        </is>
      </c>
      <c r="B15" s="0" t="inlineStr">
        <is>
          <t>Igor</t>
        </is>
      </c>
      <c r="C15" s="0" t="n">
        <v>9</v>
      </c>
      <c r="D15" s="0" t="inlineStr">
        <is>
          <t>2026</t>
        </is>
      </c>
      <c r="E15" s="0" t="inlineStr">
        <is>
          <t>Compliance of fire prevention systems in educational institutions: a case study in Santa Catarina</t>
        </is>
      </c>
      <c r="F15" s="0" t="inlineStr">
        <is>
          <t>MATOS, I. R. ; VAZ, I. C. M. ; CUSTODIO, D. A. ; GHISI, E.</t>
        </is>
      </c>
      <c r="G15" s="0" t="inlineStr">
        <is>
          <t>AMBIENTE CONSTRUÍDO (ONLINE), v. 26, p. e152235, 2026.</t>
        </is>
      </c>
      <c r="H15" s="0" t="inlineStr">
        <is>
          <t>http://dx.doi.org/10.1590/s1678-86212025000100812</t>
        </is>
      </c>
      <c r="I15" s="0" t="inlineStr">
        <is>
          <t>Preventivo-Incendio, Escola-Universidade</t>
        </is>
      </c>
      <c r="J15" s="0" t="inlineStr">
        <is>
          <t>Preventivo-Incendio</t>
        </is>
      </c>
      <c r="K15" s="0" t="inlineStr">
        <is>
          <t>Escola-Universidade</t>
        </is>
      </c>
    </row>
    <row r="16" ht="14.25" customHeight="1" s="19">
      <c r="A16" s="0" t="inlineStr">
        <is>
          <t>OK</t>
        </is>
      </c>
      <c r="B16" s="0" t="inlineStr">
        <is>
          <t>Igor</t>
        </is>
      </c>
      <c r="C16" s="0" t="n">
        <v>10</v>
      </c>
      <c r="D16" s="0" t="inlineStr">
        <is>
          <t>2026</t>
        </is>
      </c>
      <c r="E16" s="0" t="inlineStr">
        <is>
          <t>Economic viability of a rainwater harvesting system in a single-family home in southern Brazil</t>
        </is>
      </c>
      <c r="F16" s="0" t="inlineStr">
        <is>
          <t>BEZERRA, I. W. ; CUSTODIO, D. A. ; VAZ, I. C. M. ; GHISI, E.</t>
        </is>
      </c>
      <c r="G16" s="0" t="inlineStr">
        <is>
          <t>AMBIENTE CONSTRUÍDO (ONLINE), v. 26, p. e152200, 2026.</t>
        </is>
      </c>
      <c r="H16" s="0" t="inlineStr">
        <is>
          <t>http://dx.doi.org/10.1061/JWRMD5.WRENG-6426</t>
        </is>
      </c>
      <c r="I16" s="0" t="inlineStr">
        <is>
          <t>Agua-Pluvial, Aproveitamento-agua-chuva, Residencial-Unifamiliar, CCV</t>
        </is>
      </c>
      <c r="J16" s="0" t="inlineStr">
        <is>
          <t>Agua-Pluvial</t>
        </is>
      </c>
      <c r="K16" s="0" t="inlineStr">
        <is>
          <t>Aproveitamento-agua-chuva</t>
        </is>
      </c>
      <c r="L16" s="0" t="inlineStr">
        <is>
          <t>Residencial-Unifamiliar</t>
        </is>
      </c>
      <c r="M16" s="0" t="inlineStr">
        <is>
          <t>CCV</t>
        </is>
      </c>
    </row>
    <row r="17" ht="14.25" customHeight="1" s="19">
      <c r="A17" s="0" t="inlineStr">
        <is>
          <t>OK</t>
        </is>
      </c>
      <c r="B17" s="0" t="inlineStr">
        <is>
          <t>Igor</t>
        </is>
      </c>
      <c r="C17" s="0" t="n">
        <v>11</v>
      </c>
      <c r="D17" s="0" t="inlineStr">
        <is>
          <t>2026</t>
        </is>
      </c>
      <c r="E17" s="0" t="inlineStr">
        <is>
          <t>Occupants' adaptive behaviour and thermal perception in social housing buildings in Brazil</t>
        </is>
      </c>
      <c r="F17" s="0" t="inlineStr">
        <is>
          <t>VIANA, M. R. ; LOESER, B. C. ; CANDIDO, C. ; GHISI, E.</t>
        </is>
      </c>
      <c r="G17" s="0" t="inlineStr">
        <is>
          <t>ENERGY AND BUILDINGS, v. 369, p. 117943, 2026.</t>
        </is>
      </c>
      <c r="H17" s="0" t="inlineStr">
        <is>
          <t>http://dx.doi.org/10.20396/parc.v16i00.8675477</t>
        </is>
      </c>
      <c r="I17" s="0" t="inlineStr">
        <is>
          <t>Conforto-Termico, Comportamento-Usuario, Habitacao-Interesse-Social</t>
        </is>
      </c>
      <c r="J17" s="0" t="inlineStr">
        <is>
          <t>Conforto-Termico</t>
        </is>
      </c>
      <c r="K17" s="0" t="inlineStr">
        <is>
          <t>Comportamento-Usuario</t>
        </is>
      </c>
      <c r="L17" s="0" t="inlineStr">
        <is>
          <t>Habitacao-Interesse-Social</t>
        </is>
      </c>
    </row>
    <row r="18" ht="14.25" customHeight="1" s="19">
      <c r="A18" s="0" t="inlineStr">
        <is>
          <t>OK</t>
        </is>
      </c>
      <c r="B18" s="0" t="inlineStr">
        <is>
          <t>Igor</t>
        </is>
      </c>
      <c r="C18" s="0" t="n">
        <v>12</v>
      </c>
      <c r="D18" s="0" t="inlineStr">
        <is>
          <t>2026</t>
        </is>
      </c>
      <c r="E18" s="0" t="inlineStr">
        <is>
          <t>Life cycle assessment of building envelope for social housing: Balancing embodied impacts and operational energy</t>
        </is>
      </c>
      <c r="F18" s="0" t="inlineStr">
        <is>
          <t>DALPAZ, L.; ZAMPIER, P.; GHISI, E.</t>
        </is>
      </c>
      <c r="G18" s="0" t="inlineStr">
        <is>
          <t>Energy and Buildings, v. 369, 118060, 2026</t>
        </is>
      </c>
      <c r="H18" s="0" t="inlineStr">
        <is>
          <t>https://doi.org/10.1016/j.enbuild.2026.118060</t>
        </is>
      </c>
      <c r="I18" s="0" t="inlineStr">
        <is>
          <t>ACV, Habitacao-Interesse-Social, Envoltoria, Energia-embutida, Eficiencia-Energetica, Emissoes-Carbono, Residencial-Unifamiliar, Simulacao-Computacional</t>
        </is>
      </c>
      <c r="J18" s="0" t="inlineStr">
        <is>
          <t>ACV</t>
        </is>
      </c>
      <c r="K18" s="0" t="inlineStr">
        <is>
          <t>Habitacao-Interesse-Social</t>
        </is>
      </c>
      <c r="L18" s="0" t="inlineStr">
        <is>
          <t>Envoltoria</t>
        </is>
      </c>
      <c r="M18" s="0" t="inlineStr">
        <is>
          <t>Energia-embutida</t>
        </is>
      </c>
      <c r="N18" s="0" t="inlineStr">
        <is>
          <t>Eficiencia-Energetica</t>
        </is>
      </c>
      <c r="O18" s="0" t="inlineStr">
        <is>
          <t>Emissoes-Carbono</t>
        </is>
      </c>
      <c r="P18" s="0" t="inlineStr">
        <is>
          <t>Residencial-Unifamiliar</t>
        </is>
      </c>
      <c r="Q18" s="0" t="inlineStr">
        <is>
          <t>Simulacao-Computacional</t>
        </is>
      </c>
    </row>
    <row r="19" ht="14.25" customHeight="1" s="19">
      <c r="A19" s="0" t="inlineStr">
        <is>
          <t>OK</t>
        </is>
      </c>
      <c r="B19" s="0" t="inlineStr">
        <is>
          <t>Igor</t>
        </is>
      </c>
      <c r="C19" s="0" t="n">
        <v>13</v>
      </c>
      <c r="D19" s="0" t="inlineStr">
        <is>
          <t>2026</t>
        </is>
      </c>
      <c r="E19" s="0" t="inlineStr">
        <is>
          <t>Quantifying environmental impacts through the full life cycle assessment of permeable pavements</t>
        </is>
      </c>
      <c r="F19" s="0" t="inlineStr">
        <is>
          <t>ANTUNES, LUCAS NIEHUNS; SCOLARO, TAYLANA PICCININI; Ghisi, Enedir</t>
        </is>
      </c>
      <c r="G19" s="0" t="inlineStr">
        <is>
          <t>SCIENCE OF THE TOTAL ENVIRONMENT, v. 1049, p. 182179, 2026</t>
        </is>
      </c>
      <c r="H19" s="0" t="inlineStr">
        <is>
          <t>http://dx.doi.org/10.1016/j.scitotenv.2026.182179</t>
        </is>
      </c>
      <c r="I19" s="0" t="inlineStr">
        <is>
          <t>Pavimento-Permeavel, ACV, Aproveitamento-agua-chuva, Agua-Pluvial, Agua-Potavel, Emissoes-Carbono</t>
        </is>
      </c>
      <c r="J19" s="0" t="inlineStr">
        <is>
          <t>Pavimento-Permeavel</t>
        </is>
      </c>
      <c r="K19" s="0" t="inlineStr">
        <is>
          <t>ACV</t>
        </is>
      </c>
      <c r="L19" s="0" t="inlineStr">
        <is>
          <t>Aproveitamento-agua-chuva</t>
        </is>
      </c>
      <c r="M19" s="0" t="inlineStr">
        <is>
          <t>Agua-Pluvial</t>
        </is>
      </c>
      <c r="N19" s="0" t="inlineStr">
        <is>
          <t>Agua-Potavel</t>
        </is>
      </c>
      <c r="O19" s="0" t="inlineStr">
        <is>
          <t>Emissoes-Carbono</t>
        </is>
      </c>
    </row>
    <row r="20" ht="14.25" customHeight="1" s="19">
      <c r="A20" t="inlineStr">
        <is>
          <t>OK</t>
        </is>
      </c>
      <c r="B20" t="inlineStr">
        <is>
          <t>Igor</t>
        </is>
      </c>
      <c r="C20" t="n">
        <v>14</v>
      </c>
      <c r="D20" t="inlineStr">
        <is>
          <t>2026</t>
        </is>
      </c>
      <c r="E20" t="inlineStr">
        <is>
          <t>Carbonation of cement-based materials from a Whole Building Life Cycle Assessment perspective</t>
        </is>
      </c>
      <c r="F20" t="inlineStr">
        <is>
          <t>VAZ, IGOR CATÃO MARTINS; SCOLARO, TAYLANA PICCININI; RODRIGUES, EUGÉNIO; GHISI, ENEDIR</t>
        </is>
      </c>
      <c r="G20" t="inlineStr">
        <is>
          <t>JOURNAL OF BUILDING ENGINEERING, v. In Press, p. 117306, 2026</t>
        </is>
      </c>
      <c r="H20" t="inlineStr">
        <is>
          <t>http://dx.doi.org/10.1016/j.jobe.2026.117306</t>
        </is>
      </c>
      <c r="I20" t="inlineStr">
        <is>
          <t>ACV, Emissoes-Carbono, Habitacao-Interesse-Social, Residencial-Unifamiliar, Analise-Sensibilidade, Analise-Incerteza</t>
        </is>
      </c>
      <c r="J20" t="inlineStr">
        <is>
          <t>ACV</t>
        </is>
      </c>
      <c r="K20" t="inlineStr">
        <is>
          <t>Emissoes-Carbono</t>
        </is>
      </c>
      <c r="L20" t="inlineStr">
        <is>
          <t>Habitacao-Interesse-Social</t>
        </is>
      </c>
      <c r="M20" t="inlineStr">
        <is>
          <t>Residencial-Unifamiliar</t>
        </is>
      </c>
      <c r="N20" t="inlineStr">
        <is>
          <t>Analise-Sensibilidade</t>
        </is>
      </c>
      <c r="O20" t="inlineStr">
        <is>
          <t>Analise-Incerteza</t>
        </is>
      </c>
    </row>
    <row r="21" ht="14.25" customHeight="1" s="19">
      <c r="A21" s="18" t="inlineStr">
        <is>
          <t>OK</t>
        </is>
      </c>
      <c r="B21" s="18" t="inlineStr">
        <is>
          <t>Igor</t>
        </is>
      </c>
      <c r="C21" s="16" t="n">
        <v>15</v>
      </c>
      <c r="D21" s="16" t="inlineStr">
        <is>
          <t>2025</t>
        </is>
      </c>
      <c r="E21" s="16" t="inlineStr">
        <is>
          <t>Usos finais da água em canteiros de obras: estudo de caso em Criciúma, SC</t>
        </is>
      </c>
      <c r="F21" s="16" t="inlineStr">
        <is>
          <t>SOUZA, T. D.; ONEDA, T. M. S.; GHISI, E.</t>
        </is>
      </c>
      <c r="G21" s="16" t="inlineStr">
        <is>
          <t>AMBIENTE CONSTRUÍDO (ONLINE), v. 25, p. e138746, 2025</t>
        </is>
      </c>
      <c r="H21" s="14" t="inlineStr">
        <is>
          <t>http://dx.doi.org/10.1590/s1678-86212025000100812</t>
        </is>
      </c>
      <c r="I21" s="16" t="inlineStr">
        <is>
          <t>Usos-Finais, Agua-Potavel, Industrial-Servicos</t>
        </is>
      </c>
      <c r="J21" s="16" t="inlineStr">
        <is>
          <t>Usos-Finais</t>
        </is>
      </c>
      <c r="K21" s="16" t="inlineStr">
        <is>
          <t>Agua-Potavel</t>
        </is>
      </c>
      <c r="L21" s="16" t="inlineStr">
        <is>
          <t>Industrial-Servicos</t>
        </is>
      </c>
      <c r="M21" s="16" t="n"/>
      <c r="N21" s="16" t="n"/>
      <c r="O21" s="16" t="n"/>
      <c r="P21" s="18" t="n"/>
      <c r="S21" s="17">
        <f>IFERROR(__xludf.DUMMYFUNCTION("""COMPUTED_VALUE"""),"Aquecimento-Agua")</f>
        <v/>
      </c>
      <c r="T21" s="17">
        <f>countif(J15:P1836,S15)</f>
        <v/>
      </c>
    </row>
    <row r="22" ht="14.25" customHeight="1" s="19">
      <c r="A22" s="18" t="inlineStr">
        <is>
          <t>OK</t>
        </is>
      </c>
      <c r="B22" s="18" t="inlineStr">
        <is>
          <t>Igor</t>
        </is>
      </c>
      <c r="C22" s="16" t="n">
        <v>16</v>
      </c>
      <c r="D22" s="16" t="inlineStr">
        <is>
          <t>2025</t>
        </is>
      </c>
      <c r="E22" s="16" t="inlineStr">
        <is>
          <t>Water Balance Modeling as a Tool for Assessing the Inventory Flows of Urban Water Systems and Water Consumption in Buildings</t>
        </is>
      </c>
      <c r="F22" s="16" t="inlineStr">
        <is>
          <t>TESTON, ANDREA; GHISI, E.; VAZ, I. C. M.; CARVALHO, J. W. L. T.; MAYER, D.; TEIXEIRA, C. A.</t>
        </is>
      </c>
      <c r="G22" s="16" t="inlineStr">
        <is>
          <t>JOURNAL OF WATER RESOURCES PLANNING AND MANAGEMENT, v. 151, p. 05024015, 2025. Citações:2</t>
        </is>
      </c>
      <c r="H22" s="14" t="inlineStr">
        <is>
          <t>http://dx.doi.org/10.1061/JWRMD5.WRENG-6426</t>
        </is>
      </c>
      <c r="I22" s="16" t="inlineStr">
        <is>
          <t>Agua-Potavel, Escala-Urbana, Simulacao-Computacional, ACV, Agua-Pluvial, Aproveitamento-agua-chuva</t>
        </is>
      </c>
      <c r="J22" s="16" t="inlineStr">
        <is>
          <t>Agua-Potavel</t>
        </is>
      </c>
      <c r="K22" s="16" t="inlineStr">
        <is>
          <t>Escala-Urbana</t>
        </is>
      </c>
      <c r="L22" s="16" t="inlineStr">
        <is>
          <t>Simulacao-Computacional</t>
        </is>
      </c>
      <c r="M22" s="16" t="inlineStr">
        <is>
          <t>ACV</t>
        </is>
      </c>
      <c r="N22" s="16" t="inlineStr">
        <is>
          <t>Agua-Pluvial</t>
        </is>
      </c>
      <c r="O22" s="16" t="inlineStr">
        <is>
          <t>Aproveitamento-agua-chuva</t>
        </is>
      </c>
      <c r="P22" s="18" t="n"/>
      <c r="S22" s="17">
        <f>IFERROR(__xludf.DUMMYFUNCTION("""COMPUTED_VALUE"""),"Benchmarking")</f>
        <v/>
      </c>
      <c r="T22" s="17">
        <f>countif(J16:P1837,S16)</f>
        <v/>
      </c>
    </row>
    <row r="23" ht="14.25" customHeight="1" s="19">
      <c r="A23" s="18" t="inlineStr">
        <is>
          <t>OK</t>
        </is>
      </c>
      <c r="B23" s="18" t="inlineStr">
        <is>
          <t>Igor</t>
        </is>
      </c>
      <c r="C23" s="16" t="n">
        <v>17</v>
      </c>
      <c r="D23" s="16" t="inlineStr">
        <is>
          <t>2025</t>
        </is>
      </c>
      <c r="E23" s="16" t="inlineStr">
        <is>
          <t>The influence of inequalities in electricity access on people's health in Brazil</t>
        </is>
      </c>
      <c r="F23" s="16" t="inlineStr">
        <is>
          <t>THIVES, L.P.; SCOLARO, T. P.; GHISI, E.</t>
        </is>
      </c>
      <c r="G23" s="16" t="inlineStr">
        <is>
          <t>PARC : PESQUISA EM ARQUITETURA E CONSTRUÇÃO, v. 16, p. e025009, 2025</t>
        </is>
      </c>
      <c r="H23" s="14" t="inlineStr">
        <is>
          <t>http://dx.doi.org/10.20396/parc.v16i00.8675477</t>
        </is>
      </c>
      <c r="I23" s="16" t="inlineStr">
        <is>
          <t>Eletricidade, Demografia-Usuario, Escala-Urbana</t>
        </is>
      </c>
      <c r="J23" s="16" t="inlineStr">
        <is>
          <t>Eletricidade</t>
        </is>
      </c>
      <c r="K23" s="16" t="inlineStr">
        <is>
          <t>Demografia-Usuario</t>
        </is>
      </c>
      <c r="L23" s="16" t="inlineStr">
        <is>
          <t>Escala-Urbana</t>
        </is>
      </c>
      <c r="M23" s="16" t="n"/>
      <c r="N23" s="16" t="n"/>
      <c r="O23" s="16" t="n"/>
      <c r="P23" s="18" t="n"/>
      <c r="S23" s="17">
        <f>IFERROR(__xludf.DUMMYFUNCTION("""COMPUTED_VALUE"""),"CCV")</f>
        <v/>
      </c>
      <c r="T23" s="17">
        <f>countif(J17:P1838,S17)</f>
        <v/>
      </c>
    </row>
    <row r="24" ht="14.25" customHeight="1" s="19">
      <c r="A24" s="18" t="inlineStr">
        <is>
          <t>OK</t>
        </is>
      </c>
      <c r="B24" s="18" t="inlineStr">
        <is>
          <t>Igor</t>
        </is>
      </c>
      <c r="C24" s="16" t="n">
        <v>18</v>
      </c>
      <c r="D24" s="16" t="inlineStr">
        <is>
          <t>2025</t>
        </is>
      </c>
      <c r="E24" s="16" t="inlineStr">
        <is>
          <t>LEED Certification in Building Energy Efficiency: A Review of Its Performance Efficacy and Global Applicability</t>
        </is>
      </c>
      <c r="F24" s="16" t="inlineStr">
        <is>
          <t>RIBEIRO, L. M. L.; SCOLARO, T. P.; GHISI, E.</t>
        </is>
      </c>
      <c r="G24" s="16" t="inlineStr">
        <is>
          <t>Sustainability, v. 17, p. 1876, 2025. Citações:12</t>
        </is>
      </c>
      <c r="H24" s="14" t="inlineStr">
        <is>
          <t>http://dx.doi.org/10.3390/su17051876</t>
        </is>
      </c>
      <c r="I24" s="16" t="inlineStr">
        <is>
          <t>Eletricidade, Revisao-Literatura, Certificacao-Ambiental, Eficiencia-Energetica</t>
        </is>
      </c>
      <c r="J24" s="16" t="inlineStr">
        <is>
          <t>Eletricidade</t>
        </is>
      </c>
      <c r="K24" s="16" t="inlineStr">
        <is>
          <t>Revisao-Literatura</t>
        </is>
      </c>
      <c r="L24" s="16" t="inlineStr">
        <is>
          <t>Certificacao-Ambiental</t>
        </is>
      </c>
      <c r="M24" s="18" t="inlineStr">
        <is>
          <t>Eficiencia-Energetica</t>
        </is>
      </c>
      <c r="N24" s="16" t="n"/>
      <c r="O24" s="16" t="n"/>
      <c r="P24" s="18" t="n"/>
      <c r="S24" s="17">
        <f>IFERROR(__xludf.DUMMYFUNCTION("""COMPUTED_VALUE"""),"Certificacao-Ambiental")</f>
        <v/>
      </c>
      <c r="T24" s="17">
        <f>countif(J18:P1839,S18)</f>
        <v/>
      </c>
    </row>
    <row r="25" ht="14.25" customHeight="1" s="19">
      <c r="A25" s="18" t="inlineStr">
        <is>
          <t>OK</t>
        </is>
      </c>
      <c r="B25" s="18" t="inlineStr">
        <is>
          <t>Igor</t>
        </is>
      </c>
      <c r="C25" s="16" t="n">
        <v>19</v>
      </c>
      <c r="D25" s="16" t="inlineStr">
        <is>
          <t>2025</t>
        </is>
      </c>
      <c r="E25" s="16" t="inlineStr">
        <is>
          <t>Dashboard for interpreting future climate files used in the simulation of buildings - An outdoor thermal comfort approach</t>
        </is>
      </c>
      <c r="F25" s="16" t="inlineStr">
        <is>
          <t>VAZ, IGOR CATÃO MARTINS; Ghisi, Enedir; THIVES, LISEANE PADILHA; VIEIRA, Abel Silva; Rupp, Ricardo Forgiarini; SCHAEFER, ALINE; FLORES, RAFAEL ALMEIDA; BASTOS, MATHEUS BRUHNS; MARINOSKI, DEIVIS LUIS; SILVA, ARTHUR SANTOS; WEEBER, MAX; INVIDIATA, ANDREA</t>
        </is>
      </c>
      <c r="G25" s="16" t="inlineStr">
        <is>
          <t>ENERGY AND BUILDINGS, v. 326, p. 115059, 2025. Citações:1</t>
        </is>
      </c>
      <c r="H25" s="14" t="inlineStr">
        <is>
          <t>http://dx.doi.org/10.1016/j.enbuild.2024.115059</t>
        </is>
      </c>
      <c r="I25" s="16" t="inlineStr">
        <is>
          <t>Mudancas-Climaticas, Simulacao-Computacional, Conforto-Termico, Escala-Urbana, Desempenho-Termico</t>
        </is>
      </c>
      <c r="J25" s="16" t="inlineStr">
        <is>
          <t>Mudancas-Climaticas</t>
        </is>
      </c>
      <c r="K25" s="16" t="inlineStr">
        <is>
          <t>Simulacao-Computacional</t>
        </is>
      </c>
      <c r="L25" s="16" t="inlineStr">
        <is>
          <t>Conforto-Termico</t>
        </is>
      </c>
      <c r="M25" s="16" t="inlineStr">
        <is>
          <t>Escala-Urbana</t>
        </is>
      </c>
      <c r="N25" s="16" t="inlineStr">
        <is>
          <t>Desempenho-Termico</t>
        </is>
      </c>
      <c r="O25" s="16" t="n"/>
      <c r="P25" s="18" t="n"/>
      <c r="S25" s="17">
        <f>IFERROR(__xludf.DUMMYFUNCTION("""COMPUTED_VALUE"""),"Comercial-Escritorio")</f>
        <v/>
      </c>
      <c r="T25" s="17">
        <f>countif(J19:P1840,S19)</f>
        <v/>
      </c>
    </row>
    <row r="26" ht="14.25" customHeight="1" s="19">
      <c r="A26" s="18" t="inlineStr">
        <is>
          <t>OK</t>
        </is>
      </c>
      <c r="B26" s="18" t="inlineStr">
        <is>
          <t>Igor</t>
        </is>
      </c>
      <c r="C26" s="16" t="n">
        <v>20</v>
      </c>
      <c r="D26" s="16" t="inlineStr">
        <is>
          <t>2025</t>
        </is>
      </c>
      <c r="E26" s="16" t="inlineStr">
        <is>
          <t>Life cycle integrated multi-criteria decision model for roof assessment</t>
        </is>
      </c>
      <c r="F26" s="16" t="inlineStr">
        <is>
          <t>SCOLARO, T. P.; GHISI, E.</t>
        </is>
      </c>
      <c r="G26" s="16" t="inlineStr">
        <is>
          <t>ENERGY AND BUILDINGS, v. 336, p. 115628, 2025. Citações:1</t>
        </is>
      </c>
      <c r="H26" s="14" t="inlineStr">
        <is>
          <t>http://dx.doi.org/10.1016/j.enbuild.2025.115628</t>
        </is>
      </c>
      <c r="I26" s="16" t="inlineStr">
        <is>
          <t>ACV, Envoltoria, Telhado-Verde, Telhado-Frio, CCV</t>
        </is>
      </c>
      <c r="J26" s="16" t="inlineStr">
        <is>
          <t>ACV</t>
        </is>
      </c>
      <c r="K26" s="16" t="inlineStr">
        <is>
          <t>Envoltoria</t>
        </is>
      </c>
      <c r="L26" s="16" t="inlineStr">
        <is>
          <t>Telhado-Verde</t>
        </is>
      </c>
      <c r="M26" s="16" t="inlineStr">
        <is>
          <t>Telhado-Frio</t>
        </is>
      </c>
      <c r="N26" s="16" t="inlineStr">
        <is>
          <t>CCV</t>
        </is>
      </c>
      <c r="O26" s="16" t="n"/>
      <c r="P26" s="18" t="n"/>
      <c r="S26" s="17">
        <f>IFERROR(__xludf.DUMMYFUNCTION("""COMPUTED_VALUE"""),"Comportamento-Usuario")</f>
        <v/>
      </c>
      <c r="T26" s="17">
        <f>countif(J20:P1841,S20)</f>
        <v/>
      </c>
    </row>
    <row r="27" ht="14.25" customHeight="1" s="19">
      <c r="A27" s="18" t="inlineStr">
        <is>
          <t>OK</t>
        </is>
      </c>
      <c r="B27" s="18" t="inlineStr">
        <is>
          <t>Igor</t>
        </is>
      </c>
      <c r="C27" s="16" t="n">
        <v>21</v>
      </c>
      <c r="D27" s="16" t="inlineStr">
        <is>
          <t>2025</t>
        </is>
      </c>
      <c r="E27" s="16" t="inlineStr">
        <is>
          <t>Analysing the water-energy nexus considering rainwater harvesting in buildings</t>
        </is>
      </c>
      <c r="F27" s="16" t="inlineStr">
        <is>
          <t>ONEDA, T. M. S.; GHISI, E.</t>
        </is>
      </c>
      <c r="G27" s="16" t="inlineStr">
        <is>
          <t>Water, v. 17, p. 1037, 2025. Citações:2|3</t>
        </is>
      </c>
      <c r="H27" s="14" t="inlineStr">
        <is>
          <t>http://dx.doi.org/10.3390/w17071037</t>
        </is>
      </c>
      <c r="I27" s="16" t="inlineStr">
        <is>
          <t>Agua-Pluvial, Eletricidade, Aproveitamento-agua-chuva, Escala-Urbana, Residencial-Unifamiliar, Residencial-Multifamiliar</t>
        </is>
      </c>
      <c r="J27" s="16" t="inlineStr">
        <is>
          <t>Agua-Pluvial</t>
        </is>
      </c>
      <c r="K27" s="16" t="inlineStr">
        <is>
          <t>Eletricidade</t>
        </is>
      </c>
      <c r="L27" s="16" t="inlineStr">
        <is>
          <t>Aproveitamento-agua-chuva</t>
        </is>
      </c>
      <c r="M27" s="16" t="inlineStr">
        <is>
          <t>Escala-Urbana</t>
        </is>
      </c>
      <c r="N27" s="16" t="inlineStr">
        <is>
          <t>Residencial-Unifamiliar</t>
        </is>
      </c>
      <c r="O27" s="16" t="inlineStr">
        <is>
          <t>Residencial-Multifamiliar</t>
        </is>
      </c>
      <c r="P27" s="18" t="n"/>
      <c r="S27" s="17">
        <f>IFERROR(__xludf.DUMMYFUNCTION("""COMPUTED_VALUE"""),"Conforto-Termico")</f>
        <v/>
      </c>
      <c r="T27" s="17">
        <f>countif(J21:P1842,S21)</f>
        <v/>
      </c>
    </row>
    <row r="28" ht="14.25" customHeight="1" s="19">
      <c r="A28" s="18" t="inlineStr">
        <is>
          <t>OK</t>
        </is>
      </c>
      <c r="B28" s="18" t="inlineStr">
        <is>
          <t>Igor</t>
        </is>
      </c>
      <c r="C28" s="16" t="n">
        <v>22</v>
      </c>
      <c r="D28" s="16" t="inlineStr">
        <is>
          <t>2025</t>
        </is>
      </c>
      <c r="E28" s="16" t="inlineStr">
        <is>
          <t>Development of a Fuzzy Indicator of Water Efficiency in Buildings</t>
        </is>
      </c>
      <c r="F28" s="16" t="inlineStr">
        <is>
          <t>FLORES, RAFAEL; Ghisi, Enedir</t>
        </is>
      </c>
      <c r="G28" s="16" t="inlineStr">
        <is>
          <t>WATER RESOURCES MANAGEMENT, v. 39, p. 1827-1853, 2025. Citações:1</t>
        </is>
      </c>
      <c r="H28" s="14" t="inlineStr">
        <is>
          <t>http://dx.doi.org/10.1007/s11269-024-04048-8</t>
        </is>
      </c>
      <c r="I28" s="16" t="inlineStr">
        <is>
          <t>Agua-Potavel, Benchmarking, Escola-Universidade</t>
        </is>
      </c>
      <c r="J28" s="16" t="inlineStr">
        <is>
          <t>Agua-Potavel</t>
        </is>
      </c>
      <c r="K28" s="16" t="inlineStr">
        <is>
          <t>Benchmarking</t>
        </is>
      </c>
      <c r="L28" s="16" t="inlineStr">
        <is>
          <t>Escola-Universidade</t>
        </is>
      </c>
      <c r="M28" s="16" t="n"/>
      <c r="N28" s="16" t="n"/>
      <c r="O28" s="16" t="n"/>
      <c r="P28" s="18" t="n"/>
      <c r="S28" s="17">
        <f>IFERROR(__xludf.DUMMYFUNCTION("""COMPUTED_VALUE"""),"Demografia-Usuario")</f>
        <v/>
      </c>
      <c r="T28" s="17">
        <f>countif(J22:P1843,S22)</f>
        <v/>
      </c>
    </row>
    <row r="29" ht="14.25" customHeight="1" s="19">
      <c r="A29" s="18" t="inlineStr">
        <is>
          <t>OK</t>
        </is>
      </c>
      <c r="B29" s="18" t="inlineStr">
        <is>
          <t>Igor</t>
        </is>
      </c>
      <c r="C29" s="16" t="n">
        <v>23</v>
      </c>
      <c r="D29" s="16" t="inlineStr">
        <is>
          <t>2025</t>
        </is>
      </c>
      <c r="E29" s="16" t="inlineStr">
        <is>
          <t>Understanding the environmental impacts of residential water consumption in Brazil: Integrating the building stock with life cycle assessment</t>
        </is>
      </c>
      <c r="F29" s="16" t="inlineStr">
        <is>
          <t>VAZ, I. C. M.; GHISI, E.; SCOLARO, T. P.; SCHAEFER, A.</t>
        </is>
      </c>
      <c r="G29" s="16" t="inlineStr">
        <is>
          <t>BUILDING AND ENVIRONMENT, v. 279, p. 113085, 2025. Citações:4</t>
        </is>
      </c>
      <c r="H29" s="14" t="inlineStr">
        <is>
          <t>http://dx.doi.org/10.1016/j.buildenv.2025.113085</t>
        </is>
      </c>
      <c r="I29" s="16" t="inlineStr">
        <is>
          <t>Agua-Potavel, ACV, Residencial-Unifamiliar, Residencial-Multifamiliar, Emissoes-Carbono</t>
        </is>
      </c>
      <c r="J29" s="16" t="inlineStr">
        <is>
          <t>Agua-Potavel</t>
        </is>
      </c>
      <c r="K29" s="16" t="inlineStr">
        <is>
          <t>ACV</t>
        </is>
      </c>
      <c r="L29" s="16" t="inlineStr">
        <is>
          <t>Residencial-Unifamiliar</t>
        </is>
      </c>
      <c r="M29" s="16" t="inlineStr">
        <is>
          <t>Residencial-Multifamiliar</t>
        </is>
      </c>
      <c r="N29" s="16" t="inlineStr">
        <is>
          <t>Emissoes-Carbono</t>
        </is>
      </c>
      <c r="O29" s="16" t="n"/>
      <c r="P29" s="18" t="n"/>
      <c r="S29" s="17">
        <f>IFERROR(__xludf.DUMMYFUNCTION("""COMPUTED_VALUE"""),"Desempenho-Termico")</f>
        <v/>
      </c>
      <c r="T29" s="17">
        <f>countif(J23:P1844,S23)</f>
        <v/>
      </c>
    </row>
    <row r="30" ht="14.25" customHeight="1" s="19">
      <c r="A30" s="18" t="inlineStr">
        <is>
          <t>OK</t>
        </is>
      </c>
      <c r="B30" s="18" t="inlineStr">
        <is>
          <t>Igor</t>
        </is>
      </c>
      <c r="C30" s="16" t="n">
        <v>24</v>
      </c>
      <c r="D30" s="16" t="inlineStr">
        <is>
          <t>2025</t>
        </is>
      </c>
      <c r="E30" s="16" t="inlineStr">
        <is>
          <t>Water heating in Brazilian residential buildings: a comparison between electric showers and solar heating</t>
        </is>
      </c>
      <c r="F30" s="16" t="inlineStr">
        <is>
          <t>VAZ, I. C. M.; SANTOS, V.; GIGLIO, T. G. F.; GHISI, E.</t>
        </is>
      </c>
      <c r="G30" s="16" t="inlineStr">
        <is>
          <t>AMBIENTE CONSTRUÍDO (ONLINE), v. 25, p. e145506, 2025</t>
        </is>
      </c>
      <c r="H30" s="14" t="inlineStr">
        <is>
          <t>http://dx.doi.org/10.1590/s1678-86212025000100905</t>
        </is>
      </c>
      <c r="I30" s="16" t="inlineStr">
        <is>
          <t>Aquecimento-Agua, Eletricidade, Residencial-Unifamiliar, Comportamento-Usuario, Simulacao-Computacional</t>
        </is>
      </c>
      <c r="J30" s="16" t="inlineStr">
        <is>
          <t>Aquecimento-Agua</t>
        </is>
      </c>
      <c r="K30" s="16" t="inlineStr">
        <is>
          <t>Eletricidade</t>
        </is>
      </c>
      <c r="L30" s="16" t="inlineStr">
        <is>
          <t>Residencial-Unifamiliar</t>
        </is>
      </c>
      <c r="M30" s="16" t="inlineStr">
        <is>
          <t>Comportamento-Usuario</t>
        </is>
      </c>
      <c r="N30" s="16" t="inlineStr">
        <is>
          <t>Simulacao-Computacional</t>
        </is>
      </c>
      <c r="O30" s="16" t="n"/>
      <c r="P30" s="18" t="n"/>
      <c r="S30" s="17">
        <f>IFERROR(__xludf.DUMMYFUNCTION("""COMPUTED_VALUE"""),"Eficiencia-Energetica")</f>
        <v/>
      </c>
      <c r="T30" s="17">
        <f>countif(J24:P1845,S24)</f>
        <v/>
      </c>
    </row>
    <row r="31" ht="14.25" customHeight="1" s="19">
      <c r="A31" s="18" t="inlineStr">
        <is>
          <t>OK</t>
        </is>
      </c>
      <c r="B31" s="18" t="inlineStr">
        <is>
          <t>Igor</t>
        </is>
      </c>
      <c r="C31" s="16" t="n">
        <v>25</v>
      </c>
      <c r="D31" s="16" t="inlineStr">
        <is>
          <t>2025</t>
        </is>
      </c>
      <c r="E31" s="16" t="inlineStr">
        <is>
          <t>Understanding the environmental impact of residential electricity consumption in Brazil: integrating top-down and bottom-up approaches with Life Cycle Assessment</t>
        </is>
      </c>
      <c r="F31" s="16" t="inlineStr">
        <is>
          <t>VAZ, IGOR CATÃO MARTINS; SCOLARO, TAYLANA PICCININI; Ghisi, Enedir</t>
        </is>
      </c>
      <c r="G31" s="16" t="inlineStr">
        <is>
          <t>SCIENCE OF THE TOTAL ENVIRONMENT, v. 986, p. 179774, 2025</t>
        </is>
      </c>
      <c r="H31" s="14" t="inlineStr">
        <is>
          <t>http://dx.doi.org/10.1016/j.scitotenv.2025.179774</t>
        </is>
      </c>
      <c r="I31" s="16" t="inlineStr">
        <is>
          <t>Eletricidade, ACV, Residencial-Unifamiliar, Residencial-Multifamiliar, Emissoes-Carbono</t>
        </is>
      </c>
      <c r="J31" s="16" t="inlineStr">
        <is>
          <t>Eletricidade</t>
        </is>
      </c>
      <c r="K31" s="16" t="inlineStr">
        <is>
          <t>ACV</t>
        </is>
      </c>
      <c r="L31" s="16" t="inlineStr">
        <is>
          <t>Residencial-Unifamiliar</t>
        </is>
      </c>
      <c r="M31" s="16" t="inlineStr">
        <is>
          <t>Residencial-Multifamiliar</t>
        </is>
      </c>
      <c r="N31" s="16" t="inlineStr">
        <is>
          <t>Emissoes-Carbono</t>
        </is>
      </c>
      <c r="O31" s="16" t="n"/>
      <c r="P31" s="18" t="n"/>
      <c r="S31" s="17">
        <f>IFERROR(__xludf.DUMMYFUNCTION("""COMPUTED_VALUE"""),"Eletricidade")</f>
        <v/>
      </c>
      <c r="T31" s="17">
        <f>countif(J25:P1846,S25)</f>
        <v/>
      </c>
    </row>
    <row r="32" ht="14.25" customHeight="1" s="19">
      <c r="A32" s="18" t="inlineStr">
        <is>
          <t>OK</t>
        </is>
      </c>
      <c r="B32" s="18" t="inlineStr">
        <is>
          <t>Igor</t>
        </is>
      </c>
      <c r="C32" s="16" t="n">
        <v>26</v>
      </c>
      <c r="D32" s="16" t="inlineStr">
        <is>
          <t>2025</t>
        </is>
      </c>
      <c r="E32" s="16" t="inlineStr">
        <is>
          <t>Characterisation of First Flush for Rainwater Harvesting Purposes in Buildings</t>
        </is>
      </c>
      <c r="F32" s="16" t="inlineStr">
        <is>
          <t>MAYKOT, J. K.; VAZ, I. C. M.; GHISI, E.</t>
        </is>
      </c>
      <c r="G32" s="16" t="inlineStr">
        <is>
          <t>Water, v. 17, p. 1772, 2025. Citações:2</t>
        </is>
      </c>
      <c r="H32" s="14" t="inlineStr">
        <is>
          <t>http://dx.doi.org/10.3390/w17121772</t>
        </is>
      </c>
      <c r="I32" s="16" t="inlineStr">
        <is>
          <t>Agua-Pluvial, First-Flush, Qualidade-Agua, Aproveitamento-agua-chuva</t>
        </is>
      </c>
      <c r="J32" s="16" t="inlineStr">
        <is>
          <t>Agua-Pluvial</t>
        </is>
      </c>
      <c r="K32" s="16" t="inlineStr">
        <is>
          <t>First-Flush</t>
        </is>
      </c>
      <c r="L32" s="16" t="inlineStr">
        <is>
          <t>Qualidade-Agua</t>
        </is>
      </c>
      <c r="M32" s="16" t="inlineStr">
        <is>
          <t>Aproveitamento-agua-chuva</t>
        </is>
      </c>
      <c r="N32" s="16" t="n"/>
      <c r="O32" s="16" t="n"/>
      <c r="P32" s="18" t="n"/>
      <c r="S32" s="17">
        <f>IFERROR(__xludf.DUMMYFUNCTION("""COMPUTED_VALUE"""),"Emissoes-Carbono")</f>
        <v/>
      </c>
      <c r="T32" s="17">
        <f>countif(J26:P1847,S26)</f>
        <v/>
      </c>
    </row>
    <row r="33" ht="14.25" customHeight="1" s="19">
      <c r="A33" s="18" t="inlineStr">
        <is>
          <t>OK</t>
        </is>
      </c>
      <c r="B33" s="18" t="inlineStr">
        <is>
          <t>Igor</t>
        </is>
      </c>
      <c r="C33" s="16" t="n">
        <v>27</v>
      </c>
      <c r="D33" s="16" t="inlineStr">
        <is>
          <t>2025</t>
        </is>
      </c>
      <c r="E33" s="16" t="inlineStr">
        <is>
          <t>Assessing the energy and economic performance of green and cool roofs: a life cycle approach</t>
        </is>
      </c>
      <c r="F33" s="16" t="inlineStr">
        <is>
          <t>SCOLARO, T. P.; GHISI, E.</t>
        </is>
      </c>
      <c r="G33" s="16" t="inlineStr">
        <is>
          <t>Sustainability, v. 17, p. 5782, 2025. Citações:1</t>
        </is>
      </c>
      <c r="H33" s="14" t="inlineStr">
        <is>
          <t>http://dx.doi.org/10.3390/su17135782</t>
        </is>
      </c>
      <c r="I33" s="16" t="inlineStr">
        <is>
          <t>Telhado-Verde, Telhado-Frio, CCV, ACV, Eletricidade, Eficiencia-Energetica</t>
        </is>
      </c>
      <c r="J33" s="16" t="inlineStr">
        <is>
          <t>Telhado-Verde</t>
        </is>
      </c>
      <c r="K33" s="16" t="inlineStr">
        <is>
          <t>Telhado-Frio</t>
        </is>
      </c>
      <c r="L33" s="16" t="inlineStr">
        <is>
          <t>CCV</t>
        </is>
      </c>
      <c r="M33" s="16" t="inlineStr">
        <is>
          <t>ACV</t>
        </is>
      </c>
      <c r="N33" s="16" t="inlineStr">
        <is>
          <t>Eletricidade</t>
        </is>
      </c>
      <c r="O33" s="18" t="inlineStr">
        <is>
          <t>Eficiencia-Energetica</t>
        </is>
      </c>
      <c r="P33" s="18" t="n"/>
      <c r="S33" s="17">
        <f>IFERROR(__xludf.DUMMYFUNCTION("""COMPUTED_VALUE"""),"Energia-embutida")</f>
        <v/>
      </c>
      <c r="T33" s="17">
        <f>countif(J27:P1848,S27)</f>
        <v/>
      </c>
    </row>
    <row r="34" ht="14.25" customHeight="1" s="19">
      <c r="A34" s="18" t="inlineStr">
        <is>
          <t>OK</t>
        </is>
      </c>
      <c r="B34" s="18" t="inlineStr">
        <is>
          <t>Igor</t>
        </is>
      </c>
      <c r="C34" s="16" t="n">
        <v>28</v>
      </c>
      <c r="D34" s="16" t="inlineStr">
        <is>
          <t>2025</t>
        </is>
      </c>
      <c r="E34" s="16" t="inlineStr">
        <is>
          <t>Current panorama of road cargo transport in Brazil</t>
        </is>
      </c>
      <c r="F34" s="16" t="inlineStr">
        <is>
          <t>THIVES, LISEANE P.; Ghisi, Enedir; JÚNIOR, JUAREZ J. THIVES</t>
        </is>
      </c>
      <c r="G34" s="16" t="inlineStr">
        <is>
          <t>International Journal of Logistics Systems and Management, v. 51, p. 274-296, 2025</t>
        </is>
      </c>
      <c r="H34" s="14" t="inlineStr">
        <is>
          <t>http://dx.doi.org/10.1504/ijlsm.2025.146710</t>
        </is>
      </c>
      <c r="I34" s="16" t="inlineStr">
        <is>
          <t>Industrial-Servicos, Escala-Urbana, Transporte</t>
        </is>
      </c>
      <c r="J34" s="16" t="inlineStr">
        <is>
          <t>Industrial-Servicos</t>
        </is>
      </c>
      <c r="K34" s="16" t="inlineStr">
        <is>
          <t>Escala-Urbana</t>
        </is>
      </c>
      <c r="L34" s="16" t="inlineStr">
        <is>
          <t>Transporte</t>
        </is>
      </c>
      <c r="M34" s="16" t="n"/>
      <c r="N34" s="16" t="n"/>
      <c r="O34" s="16" t="n"/>
      <c r="P34" s="18" t="n"/>
      <c r="S34" s="17">
        <f>IFERROR(__xludf.DUMMYFUNCTION("""COMPUTED_VALUE"""),"Energia-Solar")</f>
        <v/>
      </c>
      <c r="T34" s="17">
        <f>countif(J28:P1849,S28)</f>
        <v/>
      </c>
    </row>
    <row r="35" ht="14.25" customHeight="1" s="19">
      <c r="A35" s="18" t="inlineStr">
        <is>
          <t>OK</t>
        </is>
      </c>
      <c r="B35" s="18" t="inlineStr">
        <is>
          <t>Igor</t>
        </is>
      </c>
      <c r="C35" s="16" t="n">
        <v>29</v>
      </c>
      <c r="D35" s="16" t="inlineStr">
        <is>
          <t>2025</t>
        </is>
      </c>
      <c r="E35" s="16" t="inlineStr">
        <is>
          <t>Technical and Economic Feasibility of Strategies to Reduce Potable Water Consumption in a Library</t>
        </is>
      </c>
      <c r="F35" s="16" t="inlineStr">
        <is>
          <t>FIGUEROBA, C. M.; VAZ, I. C. M.; THIVES, L.P.; GHISI, E.</t>
        </is>
      </c>
      <c r="G35" s="16" t="inlineStr">
        <is>
          <t>Water, v. 17, p. 2137, 2025</t>
        </is>
      </c>
      <c r="H35" s="14" t="inlineStr">
        <is>
          <t>http://dx.doi.org/10.3390/w17142137</t>
        </is>
      </c>
      <c r="I35" s="16" t="inlineStr">
        <is>
          <t>Agua-Potavel, CCV, Escola-Universidade, Aproveitamento-agua-chuva, Agua-Cinza, Agua-Pluvial</t>
        </is>
      </c>
      <c r="J35" s="16" t="inlineStr">
        <is>
          <t>Agua-Potavel</t>
        </is>
      </c>
      <c r="K35" s="16" t="inlineStr">
        <is>
          <t>CCV</t>
        </is>
      </c>
      <c r="L35" s="16" t="inlineStr">
        <is>
          <t>Escola-Universidade</t>
        </is>
      </c>
      <c r="M35" s="16" t="inlineStr">
        <is>
          <t>Aproveitamento-agua-chuva</t>
        </is>
      </c>
      <c r="N35" s="16" t="inlineStr">
        <is>
          <t>Agua-Cinza</t>
        </is>
      </c>
      <c r="O35" s="16" t="inlineStr">
        <is>
          <t>Agua-Pluvial</t>
        </is>
      </c>
      <c r="P35" s="18" t="n"/>
      <c r="S35" s="17">
        <f>IFERROR(__xludf.DUMMYFUNCTION("""COMPUTED_VALUE"""),"Envoltoria")</f>
        <v/>
      </c>
      <c r="T35" s="17">
        <f>countif(J29:P1850,S29)</f>
        <v/>
      </c>
    </row>
    <row r="36" ht="14.25" customHeight="1" s="19">
      <c r="A36" s="18" t="inlineStr">
        <is>
          <t>OK</t>
        </is>
      </c>
      <c r="B36" s="18" t="inlineStr">
        <is>
          <t>Igor</t>
        </is>
      </c>
      <c r="C36" s="16" t="n">
        <v>30</v>
      </c>
      <c r="D36" s="16" t="inlineStr">
        <is>
          <t>2025</t>
        </is>
      </c>
      <c r="E36" s="16" t="inlineStr">
        <is>
          <t>Local thermal discomfort and self-assessed productivity of occupants in office buildings in a humid subtropical climate</t>
        </is>
      </c>
      <c r="F36" s="16" t="inlineStr">
        <is>
          <t>MULLER, BEATRIZ BAYESTORFF; SCOLARO, TAYLANA PICCININI; Rupp, Ricardo Forgiarini; Ghisi, Enedir</t>
        </is>
      </c>
      <c r="G36" s="16" t="inlineStr">
        <is>
          <t>ENERGY AND BUILDINGS, v. 347, p. 116416, 2025</t>
        </is>
      </c>
      <c r="H36" s="14" t="inlineStr">
        <is>
          <t>http://dx.doi.org/10.1016/j.enbuild.2025.116416</t>
        </is>
      </c>
      <c r="I36" s="16" t="inlineStr">
        <is>
          <t>Conforto-Termico, Produtividade, Comercial-Escritorio</t>
        </is>
      </c>
      <c r="J36" s="16" t="inlineStr">
        <is>
          <t>Conforto-Termico</t>
        </is>
      </c>
      <c r="K36" s="16" t="inlineStr">
        <is>
          <t>Produtividade</t>
        </is>
      </c>
      <c r="L36" s="16" t="inlineStr">
        <is>
          <t>Comercial-Escritorio</t>
        </is>
      </c>
      <c r="M36" s="16" t="n"/>
      <c r="N36" s="16" t="n"/>
      <c r="O36" s="16" t="n"/>
      <c r="P36" s="18" t="n"/>
      <c r="S36" s="17">
        <f>IFERROR(__xludf.DUMMYFUNCTION("""COMPUTED_VALUE"""),"Equipamento-Hidrossanitario")</f>
        <v/>
      </c>
      <c r="T36" s="17">
        <f>countif(J30:P1851,S30)</f>
        <v/>
      </c>
    </row>
    <row r="37" ht="14.25" customHeight="1" s="19">
      <c r="A37" s="18" t="inlineStr">
        <is>
          <t>OK</t>
        </is>
      </c>
      <c r="B37" s="18" t="inlineStr">
        <is>
          <t>Igor</t>
        </is>
      </c>
      <c r="C37" s="16" t="n">
        <v>31</v>
      </c>
      <c r="D37" s="16" t="inlineStr">
        <is>
          <t>2025</t>
        </is>
      </c>
      <c r="E37" s="16" t="inlineStr">
        <is>
          <t>Potable water savings potential through rainwater harvesting in a Brazilian fitness centre: a case study</t>
        </is>
      </c>
      <c r="F37" s="16" t="inlineStr">
        <is>
          <t>SILVA, H. I.; TESTON, ANDREA; VAZ, I. C. M.; GHISI, E.</t>
        </is>
      </c>
      <c r="G37" s="16" t="inlineStr">
        <is>
          <t>Water, v. 17, p. 2748, 2025. Citações:1</t>
        </is>
      </c>
      <c r="H37" s="14" t="inlineStr">
        <is>
          <t>http://dx.doi.org/10.3390/w17182748</t>
        </is>
      </c>
      <c r="I37" s="16" t="inlineStr">
        <is>
          <t>Agua-Pluvial, CCV, Industrial-Servicos, Usos-Finais, Aproveitamento-agua-chuva</t>
        </is>
      </c>
      <c r="J37" s="16" t="inlineStr">
        <is>
          <t>Agua-Pluvial</t>
        </is>
      </c>
      <c r="K37" s="16" t="inlineStr">
        <is>
          <t>CCV</t>
        </is>
      </c>
      <c r="L37" s="16" t="inlineStr">
        <is>
          <t>Industrial-Servicos</t>
        </is>
      </c>
      <c r="M37" s="16" t="inlineStr">
        <is>
          <t>Usos-Finais</t>
        </is>
      </c>
      <c r="N37" s="16" t="inlineStr">
        <is>
          <t>Aproveitamento-agua-chuva</t>
        </is>
      </c>
      <c r="O37" s="16" t="n"/>
      <c r="P37" s="18" t="n"/>
      <c r="S37" s="17">
        <f>IFERROR(__xludf.DUMMYFUNCTION("""COMPUTED_VALUE"""),"Escala-Urbana")</f>
        <v/>
      </c>
      <c r="T37" s="17">
        <f>countif(J31:P1852,S31)</f>
        <v/>
      </c>
    </row>
    <row r="38" ht="14.25" customHeight="1" s="19">
      <c r="A38" s="18" t="inlineStr">
        <is>
          <t>OK</t>
        </is>
      </c>
      <c r="B38" s="18" t="inlineStr">
        <is>
          <t>Igor</t>
        </is>
      </c>
      <c r="C38" s="16" t="n">
        <v>32</v>
      </c>
      <c r="D38" s="16" t="inlineStr">
        <is>
          <t>2025</t>
        </is>
      </c>
      <c r="E38" s="16" t="inlineStr">
        <is>
          <t>The use of rainwater harvesting in a multifamily building</t>
        </is>
      </c>
      <c r="F38" s="16" t="inlineStr">
        <is>
          <t>DELOWSKI, L. C.; VAZ, I. C. M.; GHISI, E.; THIVES, L.P.</t>
        </is>
      </c>
      <c r="G38" s="16" t="inlineStr">
        <is>
          <t>European Journal Of Sustainable Development, v. 14, p. 77-90, 2025</t>
        </is>
      </c>
      <c r="H38" s="14" t="inlineStr">
        <is>
          <t>http://dx.doi.org/10.14207/ejsd.2025.v14n3p77</t>
        </is>
      </c>
      <c r="I38" s="16" t="inlineStr">
        <is>
          <t>Agua-Pluvial, Residencial-Multifamiliar, Usos-Finais, CCV, Aproveitamento-agua-chuva</t>
        </is>
      </c>
      <c r="J38" s="16" t="inlineStr">
        <is>
          <t>Agua-Pluvial</t>
        </is>
      </c>
      <c r="K38" s="16" t="inlineStr">
        <is>
          <t>Residencial-Multifamiliar</t>
        </is>
      </c>
      <c r="L38" s="16" t="inlineStr">
        <is>
          <t>Usos-Finais</t>
        </is>
      </c>
      <c r="M38" s="16" t="inlineStr">
        <is>
          <t>CCV</t>
        </is>
      </c>
      <c r="N38" s="16" t="inlineStr">
        <is>
          <t>Aproveitamento-agua-chuva</t>
        </is>
      </c>
      <c r="O38" s="16" t="n"/>
      <c r="P38" s="18" t="n"/>
      <c r="S38" s="17">
        <f>IFERROR(__xludf.DUMMYFUNCTION("""COMPUTED_VALUE"""),"Escola-Universidade")</f>
        <v/>
      </c>
      <c r="T38" s="17">
        <f>countif(J32:P1853,S32)</f>
        <v/>
      </c>
    </row>
    <row r="39" ht="14.25" customHeight="1" s="19">
      <c r="A39" s="18" t="inlineStr">
        <is>
          <t>OK</t>
        </is>
      </c>
      <c r="B39" s="18" t="inlineStr">
        <is>
          <t>Igor</t>
        </is>
      </c>
      <c r="C39" s="16" t="n">
        <v>33</v>
      </c>
      <c r="D39" s="16" t="inlineStr">
        <is>
          <t>2025</t>
        </is>
      </c>
      <c r="E39" s="16" t="inlineStr">
        <is>
          <t>Assessing thermal comfort in naturally ventilated residential buildings under current and projected regional climates in Brazil</t>
        </is>
      </c>
      <c r="F39" s="16" t="inlineStr">
        <is>
          <t>SCOLARO, TAYLANA PICCININI; MARTINS VAZ, IGOR CATÃO; Ghisi, Enedir</t>
        </is>
      </c>
      <c r="G39" s="16" t="inlineStr">
        <is>
          <t>ENERGY AND BUILDINGS, v. 349, p. 116566, 2025</t>
        </is>
      </c>
      <c r="H39" s="14" t="inlineStr">
        <is>
          <t>http://dx.doi.org/10.1016/j.enbuild.2025.116566</t>
        </is>
      </c>
      <c r="I39" s="16" t="inlineStr">
        <is>
          <t>Conforto-Termico, Mudancas-Climaticas, Residencial-Unifamiliar, Habitacao-Interesse-Social, Ventilacao</t>
        </is>
      </c>
      <c r="J39" s="16" t="inlineStr">
        <is>
          <t>Conforto-Termico</t>
        </is>
      </c>
      <c r="K39" s="16" t="inlineStr">
        <is>
          <t>Mudancas-Climaticas</t>
        </is>
      </c>
      <c r="L39" s="16" t="inlineStr">
        <is>
          <t>Residencial-Unifamiliar</t>
        </is>
      </c>
      <c r="M39" s="16" t="inlineStr">
        <is>
          <t>Habitacao-Interesse-Social</t>
        </is>
      </c>
      <c r="N39" s="16" t="inlineStr">
        <is>
          <t>Ventilacao</t>
        </is>
      </c>
      <c r="O39" s="16" t="n"/>
      <c r="P39" s="18" t="n"/>
      <c r="S39" s="17">
        <f>IFERROR(__xludf.DUMMYFUNCTION("""COMPUTED_VALUE"""),"Estudo-Campo")</f>
        <v/>
      </c>
      <c r="T39" s="17">
        <f>countif(J33:P1854,S33)</f>
        <v/>
      </c>
    </row>
    <row r="40" ht="14.25" customHeight="1" s="19">
      <c r="A40" s="18" t="inlineStr">
        <is>
          <t>OK</t>
        </is>
      </c>
      <c r="B40" s="18" t="inlineStr">
        <is>
          <t>Igor</t>
        </is>
      </c>
      <c r="C40" s="16" t="n">
        <v>34</v>
      </c>
      <c r="D40" s="16" t="inlineStr">
        <is>
          <t>2025</t>
        </is>
      </c>
      <c r="E40" s="16" t="inlineStr">
        <is>
          <t>Permeable Pavements: An Integrative Review of Technical and Environmental Contributions to Sustainable Cities</t>
        </is>
      </c>
      <c r="F40" s="16" t="inlineStr">
        <is>
          <t>FRANCO, E.; GHISI, E.; VAZ, I. C. M.; THIVES, L.P.</t>
        </is>
      </c>
      <c r="G40" s="16" t="inlineStr">
        <is>
          <t>Water, v. 17, p. 3323, 2025. Citações:3</t>
        </is>
      </c>
      <c r="H40" s="14" t="inlineStr">
        <is>
          <t>http://dx.doi.org/10.3390/w17223323</t>
        </is>
      </c>
      <c r="I40" s="16" t="inlineStr">
        <is>
          <t>Pavimento-Permeavel, Revisao-Literatura</t>
        </is>
      </c>
      <c r="J40" s="16" t="inlineStr">
        <is>
          <t>Pavimento-Permeavel</t>
        </is>
      </c>
      <c r="K40" s="16" t="inlineStr">
        <is>
          <t>Revisao-Literatura</t>
        </is>
      </c>
      <c r="L40" s="16" t="n"/>
      <c r="M40" s="16" t="n"/>
      <c r="N40" s="16" t="n"/>
      <c r="O40" s="16" t="n"/>
      <c r="P40" s="18" t="n"/>
      <c r="S40" s="17">
        <f>IFERROR(__xludf.DUMMYFUNCTION("""COMPUTED_VALUE"""),"First-Flush")</f>
        <v/>
      </c>
      <c r="T40" s="17">
        <f>countif(J34:P1855,S34)</f>
        <v/>
      </c>
    </row>
    <row r="41" ht="14.25" customHeight="1" s="19">
      <c r="A41" s="18" t="inlineStr">
        <is>
          <t>OK</t>
        </is>
      </c>
      <c r="B41" s="18" t="inlineStr">
        <is>
          <t>Igor</t>
        </is>
      </c>
      <c r="C41" s="16" t="n">
        <v>35</v>
      </c>
      <c r="D41" s="16" t="inlineStr">
        <is>
          <t>2024</t>
        </is>
      </c>
      <c r="E41" s="16" t="inlineStr">
        <is>
          <t>Avaliação do comportamento de usuários em escritórios compartilhados em Florianópolis: estudo de caso sobre janelas, luminárias e aparelhos de ar-condicionado</t>
        </is>
      </c>
      <c r="F41" s="16" t="inlineStr">
        <is>
          <t>GHISI, E.; BAVARESCO, M. V.; SILVESTRE, A. G. C.</t>
        </is>
      </c>
      <c r="G41" s="16" t="inlineStr">
        <is>
          <t>AMBIENTE CONSTRUÍDO (ONLINE), v. 24, p. e132319, 2024</t>
        </is>
      </c>
      <c r="H41" s="14" t="inlineStr">
        <is>
          <t>http://dx.doi.org/10.1590/s1678-86212024000100707</t>
        </is>
      </c>
      <c r="I41" s="16" t="inlineStr">
        <is>
          <t>Comportamento-Usuario, Comercial-Escritorio, Vidros-E-Janelas, Iluminacao, Estudo-Campo, Conforto-Termico</t>
        </is>
      </c>
      <c r="J41" s="16" t="inlineStr">
        <is>
          <t>Comportamento-Usuario</t>
        </is>
      </c>
      <c r="K41" s="16" t="inlineStr">
        <is>
          <t>Comercial-Escritorio</t>
        </is>
      </c>
      <c r="L41" s="16" t="inlineStr">
        <is>
          <t>Vidros-E-Janelas</t>
        </is>
      </c>
      <c r="M41" s="16" t="inlineStr">
        <is>
          <t>Iluminacao</t>
        </is>
      </c>
      <c r="N41" s="16" t="inlineStr">
        <is>
          <t>Estudo-Campo</t>
        </is>
      </c>
      <c r="O41" s="16" t="inlineStr">
        <is>
          <t>Conforto-Termico</t>
        </is>
      </c>
      <c r="P41" s="18" t="n"/>
      <c r="S41" s="17">
        <f>IFERROR(__xludf.DUMMYFUNCTION("""COMPUTED_VALUE"""),"Habitacao-Interesse-Social")</f>
        <v/>
      </c>
      <c r="T41" s="17">
        <f>countif(J35:P1856,S35)</f>
        <v/>
      </c>
    </row>
    <row r="42" ht="14.25" customHeight="1" s="19">
      <c r="A42" s="18" t="inlineStr">
        <is>
          <t>OK</t>
        </is>
      </c>
      <c r="B42" s="18" t="inlineStr">
        <is>
          <t>Igor</t>
        </is>
      </c>
      <c r="C42" s="16" t="n">
        <v>36</v>
      </c>
      <c r="D42" s="16" t="inlineStr">
        <is>
          <t>2024</t>
        </is>
      </c>
      <c r="E42" s="16" t="inlineStr">
        <is>
          <t>Finding patterns of occupant behaviour in actual data for thermal performance simulation: a case study in low-income houses</t>
        </is>
      </c>
      <c r="F42" s="16" t="inlineStr">
        <is>
          <t>SCHAEFER, A.; ECCEL, J. V.; GHISI, E.</t>
        </is>
      </c>
      <c r="G42" s="16" t="inlineStr">
        <is>
          <t>AMBIENTE CONSTRUÍDO (ONLINE), v. 24, p. e133438, 2024</t>
        </is>
      </c>
      <c r="H42" s="14" t="inlineStr">
        <is>
          <t>http://dx.doi.org/10.1590/s1678-86212024000100731</t>
        </is>
      </c>
      <c r="I42" s="16" t="inlineStr">
        <is>
          <t>Comportamento-Usuario, Habitacao-Interesse-Social, Residencial-Unifamiliar, Conforto-Termico, Analise-Agrupamento</t>
        </is>
      </c>
      <c r="J42" s="16" t="inlineStr">
        <is>
          <t>Comportamento-Usuario</t>
        </is>
      </c>
      <c r="K42" s="16" t="inlineStr">
        <is>
          <t>Habitacao-Interesse-Social</t>
        </is>
      </c>
      <c r="L42" s="16" t="inlineStr">
        <is>
          <t>Residencial-Unifamiliar</t>
        </is>
      </c>
      <c r="M42" s="16" t="inlineStr">
        <is>
          <t>Conforto-Termico</t>
        </is>
      </c>
      <c r="N42" s="16" t="inlineStr">
        <is>
          <t>Analise-Agrupamento</t>
        </is>
      </c>
      <c r="O42" s="16" t="n"/>
      <c r="P42" s="18" t="n"/>
      <c r="S42" s="17">
        <f>IFERROR(__xludf.DUMMYFUNCTION("""COMPUTED_VALUE"""),"Hidraulica")</f>
        <v/>
      </c>
      <c r="T42" s="17">
        <f>countif(J36:P1857,S36)</f>
        <v/>
      </c>
    </row>
    <row r="43" ht="14.25" customHeight="1" s="19">
      <c r="A43" s="18" t="inlineStr">
        <is>
          <t>OK</t>
        </is>
      </c>
      <c r="B43" s="18" t="inlineStr">
        <is>
          <t>Igor</t>
        </is>
      </c>
      <c r="C43" s="16" t="n">
        <v>37</v>
      </c>
      <c r="D43" s="16" t="inlineStr">
        <is>
          <t>2024</t>
        </is>
      </c>
      <c r="E43" s="16" t="inlineStr">
        <is>
          <t>Potential for potable water savings using rainwater: a case study in a university building in Southern Brazil</t>
        </is>
      </c>
      <c r="F43" s="16" t="inlineStr">
        <is>
          <t>CUSTODIO, D. A.; GHISI, E.</t>
        </is>
      </c>
      <c r="G43" s="16" t="inlineStr">
        <is>
          <t>Urban Water Journal, v. 21, p. 1-8, 2024. Citações:6|6</t>
        </is>
      </c>
      <c r="H43" s="14" t="inlineStr">
        <is>
          <t>http://dx.doi.org/10.1080/1573062X.2023.2281307</t>
        </is>
      </c>
      <c r="I43" s="16" t="inlineStr">
        <is>
          <t>Agua-Pluvial, Agua-Potavel, Escola-Universidade, Aproveitamento-agua-chuva</t>
        </is>
      </c>
      <c r="J43" s="16" t="inlineStr">
        <is>
          <t>Agua-Pluvial</t>
        </is>
      </c>
      <c r="K43" s="16" t="inlineStr">
        <is>
          <t>Agua-Potavel</t>
        </is>
      </c>
      <c r="L43" s="16" t="inlineStr">
        <is>
          <t>Escola-Universidade</t>
        </is>
      </c>
      <c r="M43" s="16" t="inlineStr">
        <is>
          <t>Aproveitamento-agua-chuva</t>
        </is>
      </c>
      <c r="N43" s="16" t="n"/>
      <c r="O43" s="16" t="n"/>
      <c r="P43" s="18" t="n"/>
      <c r="S43" s="17">
        <f>IFERROR(__xludf.DUMMYFUNCTION("""COMPUTED_VALUE"""),"Iluminacao")</f>
        <v/>
      </c>
      <c r="T43" s="17">
        <f>countif(J37:P1858,S37)</f>
        <v/>
      </c>
    </row>
    <row r="44" ht="14.25" customHeight="1" s="19">
      <c r="A44" s="18" t="inlineStr">
        <is>
          <t>OK</t>
        </is>
      </c>
      <c r="B44" s="18" t="inlineStr">
        <is>
          <t>Igor</t>
        </is>
      </c>
      <c r="C44" s="16" t="n">
        <v>38</v>
      </c>
      <c r="D44" s="16" t="inlineStr">
        <is>
          <t>2024</t>
        </is>
      </c>
      <c r="E44" s="16" t="inlineStr">
        <is>
          <t>Modular life cycle assessment approach: Environmental impact of rainwater harvesting systems in urban water systems</t>
        </is>
      </c>
      <c r="F44" s="16" t="inlineStr">
        <is>
          <t>TESTON, A.; GHISI, E.; VAZ, I. C. M.; SCOLARO, T. P.; SEVERIS, R. M.</t>
        </is>
      </c>
      <c r="G44" s="16" t="inlineStr">
        <is>
          <t>SCIENCE OF THE TOTAL ENVIRONMENT, v. 908, p. 168281, 2024. Citações:12|13</t>
        </is>
      </c>
      <c r="H44" s="14" t="inlineStr">
        <is>
          <t>http://dx.doi.org/10.1016/j.scitotenv.2023.168281</t>
        </is>
      </c>
      <c r="I44" s="16" t="inlineStr">
        <is>
          <t>ACV, Agua-Pluvial, Escala-Urbana, Agua-Potavel, Aproveitamento-agua-chuva</t>
        </is>
      </c>
      <c r="J44" s="16" t="inlineStr">
        <is>
          <t>ACV</t>
        </is>
      </c>
      <c r="K44" s="16" t="inlineStr">
        <is>
          <t>Agua-Pluvial</t>
        </is>
      </c>
      <c r="L44" s="16" t="inlineStr">
        <is>
          <t>Escala-Urbana</t>
        </is>
      </c>
      <c r="M44" s="16" t="inlineStr">
        <is>
          <t>Agua-Potavel</t>
        </is>
      </c>
      <c r="N44" s="16" t="inlineStr">
        <is>
          <t>Aproveitamento-agua-chuva</t>
        </is>
      </c>
      <c r="O44" s="16" t="n"/>
      <c r="P44" s="18" t="n"/>
      <c r="S44" s="17">
        <f>IFERROR(__xludf.DUMMYFUNCTION("""COMPUTED_VALUE"""),"Industrial-Servicos")</f>
        <v/>
      </c>
      <c r="T44" s="17">
        <f>countif(J38:P1859,S38)</f>
        <v/>
      </c>
    </row>
    <row r="45" ht="14.25" customHeight="1" s="19">
      <c r="A45" s="18" t="inlineStr">
        <is>
          <t>OK</t>
        </is>
      </c>
      <c r="B45" s="18" t="inlineStr">
        <is>
          <t>Igor</t>
        </is>
      </c>
      <c r="C45" s="16" t="n">
        <v>39</v>
      </c>
      <c r="D45" s="16" t="inlineStr">
        <is>
          <t>2024</t>
        </is>
      </c>
      <c r="E45" s="16" t="inlineStr">
        <is>
          <t>Influência do modo de operação e parâmetros antropométricos na produtividade autoavaliada em edifícios de escritórios</t>
        </is>
      </c>
      <c r="F45" s="16" t="inlineStr">
        <is>
          <t>SCOLARO, T. P.; REALI, J. P. G.; GHISI, E.; RUPP, R.F.</t>
        </is>
      </c>
      <c r="G45" s="16" t="inlineStr">
        <is>
          <t>AMBIENTE CONSTRUÍDO (ONLINE), v. 24, p. e134303, 2024</t>
        </is>
      </c>
      <c r="H45" s="14" t="inlineStr">
        <is>
          <t>http://dx.doi.org/10.1590/s1678-86212024000100765</t>
        </is>
      </c>
      <c r="I45" s="16" t="inlineStr">
        <is>
          <t>Produtividade, Demografia-Usuario, Comercial-Escritorio, Conforto-Termico</t>
        </is>
      </c>
      <c r="J45" s="16" t="inlineStr">
        <is>
          <t>Produtividade</t>
        </is>
      </c>
      <c r="K45" s="16" t="inlineStr">
        <is>
          <t>Demografia-Usuario</t>
        </is>
      </c>
      <c r="L45" s="16" t="inlineStr">
        <is>
          <t>Comercial-Escritorio</t>
        </is>
      </c>
      <c r="M45" s="16" t="inlineStr">
        <is>
          <t>Conforto-Termico</t>
        </is>
      </c>
      <c r="N45" s="16" t="n"/>
      <c r="O45" s="16" t="n"/>
      <c r="P45" s="18" t="n"/>
      <c r="S45" s="17">
        <f>IFERROR(__xludf.DUMMYFUNCTION("""COMPUTED_VALUE"""),"Mudancas-Climaticas")</f>
        <v/>
      </c>
      <c r="T45" s="17">
        <f>countif(J39:P1860,S39)</f>
        <v/>
      </c>
    </row>
    <row r="46" ht="14.25" customHeight="1" s="19">
      <c r="A46" s="18" t="inlineStr">
        <is>
          <t>OK</t>
        </is>
      </c>
      <c r="B46" s="18" t="inlineStr">
        <is>
          <t>Igor</t>
        </is>
      </c>
      <c r="C46" s="16" t="n">
        <v>40</v>
      </c>
      <c r="D46" s="16" t="inlineStr">
        <is>
          <t>2024</t>
        </is>
      </c>
      <c r="E46" s="16" t="inlineStr">
        <is>
          <t>Multi-domain simulation for the holistic assessment of the indoor environment: A systematic review</t>
        </is>
      </c>
      <c r="F46" s="16" t="inlineStr">
        <is>
          <t>BAVARESCO, M.; GNECCO, V.; PIGLIAUTILE, I.; PISELLI, C.; BRACHT, M.; CUREAU, R.; DE SOUZA, L.; GERALDI, M.; VASQUEZ, N.G.; FABIANI, C.; GHISI, E.; LAMBERTS, R.; MELO, A.P.; PISELLO, A.L.</t>
        </is>
      </c>
      <c r="G46" s="16" t="inlineStr">
        <is>
          <t>JOURNAL OF BUILDING ENGINEERING, v. 84, p. 108612, 2024. Citações:17|19</t>
        </is>
      </c>
      <c r="H46" s="14" t="inlineStr">
        <is>
          <t>http://dx.doi.org/10.1016/j.jobe.2024.108612</t>
        </is>
      </c>
      <c r="I46" s="16" t="inlineStr">
        <is>
          <t>Simulacao-Computacional, Revisao-Literatura, Conforto-Termico</t>
        </is>
      </c>
      <c r="J46" s="16" t="inlineStr">
        <is>
          <t>Simulacao-Computacional</t>
        </is>
      </c>
      <c r="K46" s="16" t="inlineStr">
        <is>
          <t>Revisao-Literatura</t>
        </is>
      </c>
      <c r="L46" s="16" t="inlineStr">
        <is>
          <t>Conforto-Termico</t>
        </is>
      </c>
      <c r="M46" s="16" t="n"/>
      <c r="N46" s="16" t="n"/>
      <c r="O46" s="16" t="n"/>
      <c r="P46" s="18" t="n"/>
      <c r="S46" s="17">
        <f>IFERROR(__xludf.DUMMYFUNCTION("""COMPUTED_VALUE"""),"Pavimento-Permeavel")</f>
        <v/>
      </c>
      <c r="T46" s="17">
        <f>countif(J40:P1861,S40)</f>
        <v/>
      </c>
    </row>
    <row r="47" ht="14.25" customHeight="1" s="19">
      <c r="A47" s="18" t="inlineStr">
        <is>
          <t>OK</t>
        </is>
      </c>
      <c r="B47" s="18" t="inlineStr">
        <is>
          <t>Igor</t>
        </is>
      </c>
      <c r="C47" s="16" t="n">
        <v>41</v>
      </c>
      <c r="D47" s="16" t="inlineStr">
        <is>
          <t>2024</t>
        </is>
      </c>
      <c r="E47" s="16" t="inlineStr">
        <is>
          <t>Urban water consumption: a systematic literature review</t>
        </is>
      </c>
      <c r="F47" s="16" t="inlineStr">
        <is>
          <t>DIAS, T. F.; GHISI, E.</t>
        </is>
      </c>
      <c r="G47" s="16" t="inlineStr">
        <is>
          <t>Water, v. 16, p. 838, 2024. Citações:17|7</t>
        </is>
      </c>
      <c r="H47" s="14" t="inlineStr">
        <is>
          <t>http://dx.doi.org/10.3390/w16060838</t>
        </is>
      </c>
      <c r="I47" s="16" t="inlineStr">
        <is>
          <t>Agua-Potavel, Escala-Urbana, Revisao-Literatura</t>
        </is>
      </c>
      <c r="J47" s="16" t="inlineStr">
        <is>
          <t>Agua-Potavel</t>
        </is>
      </c>
      <c r="K47" s="16" t="inlineStr">
        <is>
          <t>Escala-Urbana</t>
        </is>
      </c>
      <c r="L47" s="16" t="inlineStr">
        <is>
          <t>Revisao-Literatura</t>
        </is>
      </c>
      <c r="M47" s="16" t="n"/>
      <c r="N47" s="16" t="n"/>
      <c r="O47" s="16" t="n"/>
      <c r="P47" s="18" t="n"/>
      <c r="S47" s="17">
        <f>IFERROR(__xludf.DUMMYFUNCTION("""COMPUTED_VALUE"""),"Pneu")</f>
        <v/>
      </c>
      <c r="T47" s="17">
        <f>countif(J41:P1862,S41)</f>
        <v/>
      </c>
    </row>
    <row r="48" ht="14.25" customHeight="1" s="19">
      <c r="A48" s="18" t="inlineStr">
        <is>
          <t>OK</t>
        </is>
      </c>
      <c r="B48" s="18" t="inlineStr">
        <is>
          <t>Igor</t>
        </is>
      </c>
      <c r="C48" s="16" t="n">
        <v>42</v>
      </c>
      <c r="D48" s="16" t="inlineStr">
        <is>
          <t>2024</t>
        </is>
      </c>
      <c r="E48" s="16" t="inlineStr">
        <is>
          <t>Technical and Economic Feasibility of Multi-Family Social Housing and Nearly Zero-Energy Buildings in Southern Brazil</t>
        </is>
      </c>
      <c r="F48" s="16" t="inlineStr">
        <is>
          <t>PIEROZAN, EDUARDO; PICCININI SCOLARO, TAYLANA; WATZKO, ELISE SOMMER; Ghisi, Enedir</t>
        </is>
      </c>
      <c r="G48" s="16" t="inlineStr">
        <is>
          <t>Sustainability, v. 16, p. 2608, 2024. Citações:3|4</t>
        </is>
      </c>
      <c r="H48" s="14" t="inlineStr">
        <is>
          <t>http://dx.doi.org/10.3390/su16072608</t>
        </is>
      </c>
      <c r="I48" s="16" t="inlineStr">
        <is>
          <t>CCV, Habitacao-Interesse-Social, Residencial-Multifamiliar, Eletricidade, Energia-Solar, Eficiencia-Energetica</t>
        </is>
      </c>
      <c r="J48" s="16" t="inlineStr">
        <is>
          <t>CCV</t>
        </is>
      </c>
      <c r="K48" s="16" t="inlineStr">
        <is>
          <t>Habitacao-Interesse-Social</t>
        </is>
      </c>
      <c r="L48" s="16" t="inlineStr">
        <is>
          <t>Residencial-Multifamiliar</t>
        </is>
      </c>
      <c r="M48" s="16" t="inlineStr">
        <is>
          <t>Eletricidade</t>
        </is>
      </c>
      <c r="N48" s="16" t="inlineStr">
        <is>
          <t>Energia-Solar</t>
        </is>
      </c>
      <c r="O48" s="16" t="inlineStr">
        <is>
          <t>Eficiencia-Energetica</t>
        </is>
      </c>
      <c r="P48" s="18" t="n"/>
      <c r="S48" s="17">
        <f>IFERROR(__xludf.DUMMYFUNCTION("""COMPUTED_VALUE"""),"Precipitacao")</f>
        <v/>
      </c>
      <c r="T48" s="17">
        <f>countif(J42:P1863,S42)</f>
        <v/>
      </c>
    </row>
    <row r="49" ht="14.25" customHeight="1" s="19">
      <c r="A49" s="18" t="inlineStr">
        <is>
          <t>OK</t>
        </is>
      </c>
      <c r="B49" s="18" t="inlineStr">
        <is>
          <t>Igor</t>
        </is>
      </c>
      <c r="C49" s="16" t="n">
        <v>43</v>
      </c>
      <c r="D49" s="16" t="inlineStr">
        <is>
          <t>2024</t>
        </is>
      </c>
      <c r="E49" s="16" t="inlineStr">
        <is>
          <t>Comparison of methods to determine the solar heat gain coefficient of glazing</t>
        </is>
      </c>
      <c r="F49" s="16" t="inlineStr">
        <is>
          <t>MELLER, B. J.; MARINOSKI, Deivis L; GÜTHS, Saulo; GHISI, E.</t>
        </is>
      </c>
      <c r="G49" s="16" t="inlineStr">
        <is>
          <t>AMBIENTE CONSTRUÍDO (ONLINE), v. 24, p. e138257, 2024</t>
        </is>
      </c>
      <c r="H49" s="14" t="inlineStr">
        <is>
          <t>http://dx.doi.org/10.1590/s1678-86212024000100772</t>
        </is>
      </c>
      <c r="I49" s="16" t="inlineStr">
        <is>
          <t>Envoltoria, Eletricidade, Energia-Solar, Vidros-E-Janelas, Eficiencia-Energetica</t>
        </is>
      </c>
      <c r="J49" s="16" t="inlineStr">
        <is>
          <t>Envoltoria</t>
        </is>
      </c>
      <c r="K49" s="16" t="inlineStr">
        <is>
          <t>Eletricidade</t>
        </is>
      </c>
      <c r="L49" s="16" t="inlineStr">
        <is>
          <t>Energia-Solar</t>
        </is>
      </c>
      <c r="M49" s="16" t="inlineStr">
        <is>
          <t>Vidros-E-Janelas</t>
        </is>
      </c>
      <c r="N49" s="18" t="inlineStr">
        <is>
          <t>Eficiencia-Energetica</t>
        </is>
      </c>
      <c r="O49" s="16" t="n"/>
      <c r="P49" s="18" t="n"/>
      <c r="S49" s="17">
        <f>IFERROR(__xludf.DUMMYFUNCTION("""COMPUTED_VALUE"""),"Preventivo-Incendio")</f>
        <v/>
      </c>
      <c r="T49" s="17">
        <f>countif(J43:P1864,S43)</f>
        <v/>
      </c>
    </row>
    <row r="50" ht="14.25" customHeight="1" s="19">
      <c r="A50" s="18" t="inlineStr">
        <is>
          <t>OK</t>
        </is>
      </c>
      <c r="B50" s="18" t="inlineStr">
        <is>
          <t>Igor</t>
        </is>
      </c>
      <c r="C50" s="16" t="n">
        <v>44</v>
      </c>
      <c r="D50" s="16" t="inlineStr">
        <is>
          <t>2024</t>
        </is>
      </c>
      <c r="E50" s="16" t="inlineStr">
        <is>
          <t>The Impact of the Water Tariff on the Economic Feasibility of Rainwater Harvesting for Use in Residential Buildings</t>
        </is>
      </c>
      <c r="F50" s="16" t="inlineStr">
        <is>
          <t>BORGERT, A. E.; GHISI, E.</t>
        </is>
      </c>
      <c r="G50" s="16" t="inlineStr">
        <is>
          <t>Water, v. 16, p. 1058, 2024. Citações:3</t>
        </is>
      </c>
      <c r="H50" s="14" t="inlineStr">
        <is>
          <t>http://dx.doi.org/10.3390/w16071058</t>
        </is>
      </c>
      <c r="I50" s="16" t="inlineStr">
        <is>
          <t>CCV, Agua-Pluvial, Aproveitamento-agua-chuva</t>
        </is>
      </c>
      <c r="J50" s="16" t="inlineStr">
        <is>
          <t>CCV</t>
        </is>
      </c>
      <c r="K50" s="16" t="inlineStr">
        <is>
          <t>Agua-Pluvial</t>
        </is>
      </c>
      <c r="L50" s="16" t="inlineStr">
        <is>
          <t>Aproveitamento-agua-chuva</t>
        </is>
      </c>
      <c r="M50" s="16" t="n"/>
      <c r="N50" s="16" t="n"/>
      <c r="O50" s="16" t="n"/>
      <c r="P50" s="18" t="n"/>
      <c r="S50" s="17">
        <f>IFERROR(__xludf.DUMMYFUNCTION("""COMPUTED_VALUE"""),"Produtividade")</f>
        <v/>
      </c>
      <c r="T50" s="17">
        <f>countif(J44:P1865,S44)</f>
        <v/>
      </c>
    </row>
    <row r="51" ht="14.25" customHeight="1" s="19">
      <c r="A51" s="18" t="inlineStr">
        <is>
          <t>OK</t>
        </is>
      </c>
      <c r="B51" s="18" t="inlineStr">
        <is>
          <t>Igor</t>
        </is>
      </c>
      <c r="C51" s="16" t="n">
        <v>45</v>
      </c>
      <c r="D51" s="16" t="inlineStr">
        <is>
          <t>2024</t>
        </is>
      </c>
      <c r="E51" s="16" t="inlineStr">
        <is>
          <t>Cluster analysis applied to obtaining reference models for building thermal performance studies</t>
        </is>
      </c>
      <c r="F51" s="16" t="inlineStr">
        <is>
          <t>SCHAEFER, A.; SCOLARO, T. P.; GHISI, E.</t>
        </is>
      </c>
      <c r="G51" s="16" t="inlineStr">
        <is>
          <t>JOURNAL OF BUILDING ENGINEERING, v. 89, p. 109273, 2024. Citações:8|2</t>
        </is>
      </c>
      <c r="H51" s="14" t="inlineStr">
        <is>
          <t>http://dx.doi.org/10.1016/j.jobe.2024.109273</t>
        </is>
      </c>
      <c r="I51" s="16" t="inlineStr">
        <is>
          <t>Benchmarking, Conforto-Termico, Residencial-Unifamiliar, Analise-Agrupamento</t>
        </is>
      </c>
      <c r="J51" s="16" t="inlineStr">
        <is>
          <t>Benchmarking</t>
        </is>
      </c>
      <c r="K51" s="16" t="inlineStr">
        <is>
          <t>Conforto-Termico</t>
        </is>
      </c>
      <c r="L51" s="16" t="inlineStr">
        <is>
          <t>Residencial-Unifamiliar</t>
        </is>
      </c>
      <c r="M51" s="16" t="inlineStr">
        <is>
          <t>Analise-Agrupamento</t>
        </is>
      </c>
      <c r="N51" s="16" t="n"/>
      <c r="O51" s="16" t="n"/>
      <c r="P51" s="18" t="n"/>
      <c r="S51" s="17">
        <f>IFERROR(__xludf.DUMMYFUNCTION("""COMPUTED_VALUE"""),"Qualidade-Agua")</f>
        <v/>
      </c>
      <c r="T51" s="17">
        <f>countif(J45:P1866,S45)</f>
        <v/>
      </c>
    </row>
    <row r="52" ht="14.25" customHeight="1" s="19">
      <c r="A52" s="18" t="inlineStr">
        <is>
          <t>OK</t>
        </is>
      </c>
      <c r="B52" s="18" t="inlineStr">
        <is>
          <t>Igor</t>
        </is>
      </c>
      <c r="C52" s="16" t="n">
        <v>46</v>
      </c>
      <c r="D52" s="16" t="inlineStr">
        <is>
          <t>2024</t>
        </is>
      </c>
      <c r="E52" s="16" t="inlineStr">
        <is>
          <t>Thermal comfort in university classrooms in humid subtropical climate: Field study during all seasons</t>
        </is>
      </c>
      <c r="F52" s="16" t="inlineStr">
        <is>
          <t>CUSTODIO, D. A.; GHISI, E.; RUPP, R.F.</t>
        </is>
      </c>
      <c r="G52" s="16" t="inlineStr">
        <is>
          <t>BUILDING AND ENVIRONMENT, v. 258, p. 111644, 2024. Citações:13|3</t>
        </is>
      </c>
      <c r="H52" s="14" t="inlineStr">
        <is>
          <t>http://dx.doi.org/10.1016/j.buildenv.2024.111644</t>
        </is>
      </c>
      <c r="I52" s="16" t="inlineStr">
        <is>
          <t>Conforto-Termico, Escola-Universidade, Estudo-Campo</t>
        </is>
      </c>
      <c r="J52" s="16" t="inlineStr">
        <is>
          <t>Conforto-Termico</t>
        </is>
      </c>
      <c r="K52" s="16" t="inlineStr">
        <is>
          <t>Escola-Universidade</t>
        </is>
      </c>
      <c r="L52" s="16" t="inlineStr">
        <is>
          <t>Estudo-Campo</t>
        </is>
      </c>
      <c r="M52" s="16" t="n"/>
      <c r="N52" s="16" t="n"/>
      <c r="O52" s="16" t="n"/>
      <c r="P52" s="18" t="n"/>
      <c r="S52" s="17">
        <f>IFERROR(__xludf.DUMMYFUNCTION("""COMPUTED_VALUE"""),"Qualidade-Ar")</f>
        <v/>
      </c>
      <c r="T52" s="17">
        <f>countif(J46:P1867,S46)</f>
        <v/>
      </c>
    </row>
    <row r="53" ht="14.25" customHeight="1" s="19">
      <c r="A53" s="18" t="inlineStr">
        <is>
          <t>OK</t>
        </is>
      </c>
      <c r="B53" s="18" t="inlineStr">
        <is>
          <t>Igor</t>
        </is>
      </c>
      <c r="C53" s="16" t="n">
        <v>47</v>
      </c>
      <c r="D53" s="16" t="inlineStr">
        <is>
          <t>2024</t>
        </is>
      </c>
      <c r="E53" s="16" t="inlineStr">
        <is>
          <t>Life Cycle Assessment of Pervious Pavements: Integrative Review and Novel Ideas of Analysis</t>
        </is>
      </c>
      <c r="F53" s="16" t="inlineStr">
        <is>
          <t>MARTINS VAZ, IGOR CATÃO; ANTUNES, LUCAS NIEHUNS; Ghisi, Enedir; THIVES, LISEANE PADILHA</t>
        </is>
      </c>
      <c r="G53" s="16" t="inlineStr">
        <is>
          <t>Water, v. 16, p. 1403, 2024. Citações:7|2</t>
        </is>
      </c>
      <c r="H53" s="14" t="inlineStr">
        <is>
          <t>http://dx.doi.org/10.3390/w16101403</t>
        </is>
      </c>
      <c r="I53" s="16" t="inlineStr">
        <is>
          <t>ACV, Pavimento-Permeavel, Revisao-Literatura</t>
        </is>
      </c>
      <c r="J53" s="16" t="inlineStr">
        <is>
          <t>ACV</t>
        </is>
      </c>
      <c r="K53" s="16" t="inlineStr">
        <is>
          <t>Pavimento-Permeavel</t>
        </is>
      </c>
      <c r="L53" s="16" t="inlineStr">
        <is>
          <t>Revisao-Literatura</t>
        </is>
      </c>
      <c r="M53" s="16" t="n"/>
      <c r="N53" s="16" t="n"/>
      <c r="O53" s="16" t="n"/>
      <c r="P53" s="18" t="n"/>
      <c r="S53" s="17">
        <f>IFERROR(__xludf.DUMMYFUNCTION("""COMPUTED_VALUE"""),"Radiacao-solar")</f>
        <v/>
      </c>
      <c r="T53" s="17">
        <f>countif(J47:P1868,S47)</f>
        <v/>
      </c>
    </row>
    <row r="54" ht="14.25" customHeight="1" s="19">
      <c r="A54" s="18" t="inlineStr">
        <is>
          <t>OK</t>
        </is>
      </c>
      <c r="B54" s="18" t="inlineStr">
        <is>
          <t>Igor</t>
        </is>
      </c>
      <c r="C54" s="16" t="n">
        <v>48</v>
      </c>
      <c r="D54" s="16" t="inlineStr">
        <is>
          <t>2024</t>
        </is>
      </c>
      <c r="E54" s="16" t="inlineStr">
        <is>
          <t>Utilisation of Machine Learning in Control Systems Based on the Preference of Office Users</t>
        </is>
      </c>
      <c r="F54" s="16" t="inlineStr">
        <is>
          <t>BILESIMO, T. L.; GHISI, E.</t>
        </is>
      </c>
      <c r="G54" s="16" t="inlineStr">
        <is>
          <t>Sustainability, v. 16, p. 4258, 2024. Citações:1</t>
        </is>
      </c>
      <c r="H54" s="14" t="inlineStr">
        <is>
          <t>http://dx.doi.org/10.3390/su16104258</t>
        </is>
      </c>
      <c r="I54" s="16" t="inlineStr">
        <is>
          <t>Benchmarking, Comportamento-Usuario, Comercial-Escritorio</t>
        </is>
      </c>
      <c r="J54" s="16" t="inlineStr">
        <is>
          <t>Benchmarking</t>
        </is>
      </c>
      <c r="K54" s="16" t="inlineStr">
        <is>
          <t>Comportamento-Usuario</t>
        </is>
      </c>
      <c r="L54" s="16" t="inlineStr">
        <is>
          <t>Comercial-Escritorio</t>
        </is>
      </c>
      <c r="M54" s="16" t="n"/>
      <c r="N54" s="16" t="n"/>
      <c r="O54" s="16" t="n"/>
      <c r="P54" s="18" t="n"/>
      <c r="S54" s="17">
        <f>IFERROR(__xludf.DUMMYFUNCTION("""COMPUTED_VALUE"""),"Reservatorio")</f>
        <v/>
      </c>
      <c r="T54" s="17">
        <f>countif(J48:P1869,S48)</f>
        <v/>
      </c>
    </row>
    <row r="55" ht="14.25" customHeight="1" s="19">
      <c r="A55" s="18" t="inlineStr">
        <is>
          <t>OK</t>
        </is>
      </c>
      <c r="B55" s="18" t="inlineStr">
        <is>
          <t>Igor</t>
        </is>
      </c>
      <c r="C55" s="16" t="n">
        <v>49</v>
      </c>
      <c r="D55" s="16" t="inlineStr">
        <is>
          <t>2024</t>
        </is>
      </c>
      <c r="E55" s="16" t="inlineStr">
        <is>
          <t>Economic feasibility of rainwater harvesting and greywater reuse in a multifamily building</t>
        </is>
      </c>
      <c r="F55" s="16" t="inlineStr">
        <is>
          <t>GHISI, E.; FREITAS, D. A.</t>
        </is>
      </c>
      <c r="G55" s="16" t="inlineStr">
        <is>
          <t>Water, v. 16, p. 1580, 2024. Citações:3|1</t>
        </is>
      </c>
      <c r="H55" s="14" t="inlineStr">
        <is>
          <t>http://dx.doi.org/10.3390/w16111580</t>
        </is>
      </c>
      <c r="I55" s="16" t="inlineStr">
        <is>
          <t>CCV, Agua-Pluvial, Agua-Cinza, Residencial-Multifamiliar, Aproveitamento-agua-chuva</t>
        </is>
      </c>
      <c r="J55" s="16" t="inlineStr">
        <is>
          <t>CCV</t>
        </is>
      </c>
      <c r="K55" s="16" t="inlineStr">
        <is>
          <t>Agua-Pluvial</t>
        </is>
      </c>
      <c r="L55" s="16" t="inlineStr">
        <is>
          <t>Agua-Cinza</t>
        </is>
      </c>
      <c r="M55" s="16" t="inlineStr">
        <is>
          <t>Residencial-Multifamiliar</t>
        </is>
      </c>
      <c r="N55" s="16" t="inlineStr">
        <is>
          <t>Aproveitamento-agua-chuva</t>
        </is>
      </c>
      <c r="O55" s="16" t="n"/>
      <c r="P55" s="18" t="n"/>
      <c r="S55" s="17">
        <f>IFERROR(__xludf.DUMMYFUNCTION("""COMPUTED_VALUE"""),"Residencial-Multifamiliar")</f>
        <v/>
      </c>
      <c r="T55" s="17">
        <f>countif(J49:P1870,S49)</f>
        <v/>
      </c>
    </row>
    <row r="56" ht="14.25" customHeight="1" s="19">
      <c r="A56" s="18" t="inlineStr">
        <is>
          <t>OK</t>
        </is>
      </c>
      <c r="B56" s="18" t="inlineStr">
        <is>
          <t>Igor</t>
        </is>
      </c>
      <c r="C56" s="16" t="n">
        <v>50</v>
      </c>
      <c r="D56" s="16" t="inlineStr">
        <is>
          <t>2024</t>
        </is>
      </c>
      <c r="E56" s="16" t="inlineStr">
        <is>
          <t>Assessing the impact of evapotranspiration from green roofs on reducing surface temperatures</t>
        </is>
      </c>
      <c r="F56" s="16" t="inlineStr">
        <is>
          <t>PICCININI SCOLARO, TAYLANA; Ghisi, Enedir; SILVA, CRISTINA MATOS</t>
        </is>
      </c>
      <c r="G56" s="16" t="inlineStr">
        <is>
          <t>JOURNAL OF BUILDING ENGINEERING, v. 95, p. 110095, 2024. Citações:22|4</t>
        </is>
      </c>
      <c r="H56" s="14" t="inlineStr">
        <is>
          <t>http://dx.doi.org/10.1016/j.jobe.2024.110095</t>
        </is>
      </c>
      <c r="I56" s="16" t="inlineStr">
        <is>
          <t>Telhado-Verde, Conforto-Termico</t>
        </is>
      </c>
      <c r="J56" s="16" t="inlineStr">
        <is>
          <t>Telhado-Verde</t>
        </is>
      </c>
      <c r="K56" s="16" t="inlineStr">
        <is>
          <t>Conforto-Termico</t>
        </is>
      </c>
      <c r="L56" s="16" t="n"/>
      <c r="M56" s="16" t="n"/>
      <c r="N56" s="16" t="n"/>
      <c r="O56" s="16" t="n"/>
      <c r="P56" s="18" t="n"/>
      <c r="S56" s="17">
        <f>IFERROR(__xludf.DUMMYFUNCTION("""COMPUTED_VALUE"""),"Residencial-Unifamiliar")</f>
        <v/>
      </c>
      <c r="T56" s="17">
        <f>countif(J50:P1871,S50)</f>
        <v/>
      </c>
    </row>
    <row r="57" ht="14.25" customHeight="1" s="19">
      <c r="A57" s="18" t="inlineStr">
        <is>
          <t>OK</t>
        </is>
      </c>
      <c r="B57" s="18" t="inlineStr">
        <is>
          <t>Igor</t>
        </is>
      </c>
      <c r="C57" s="16" t="n">
        <v>51</v>
      </c>
      <c r="D57" s="16" t="inlineStr">
        <is>
          <t>2024</t>
        </is>
      </c>
      <c r="E57" s="16" t="inlineStr">
        <is>
          <t>Comparison of future weather files for Brazilian cities</t>
        </is>
      </c>
      <c r="F57" s="16" t="inlineStr">
        <is>
          <t>VAZ, IGOR CATÃO MARTINS; VIANA, MARINA RIBEIRO; Ghisi, Enedir</t>
        </is>
      </c>
      <c r="G57" s="16" t="inlineStr">
        <is>
          <t>E3S Web of Conferences, v. 546, p. 01017, 2024</t>
        </is>
      </c>
      <c r="H57" s="14" t="inlineStr">
        <is>
          <t>http://dx.doi.org/10.1051/e3sconf/202454601017</t>
        </is>
      </c>
      <c r="I57" s="16" t="inlineStr">
        <is>
          <t>Mudancas-Climaticas, Simulacao-Computacional</t>
        </is>
      </c>
      <c r="J57" s="16" t="inlineStr">
        <is>
          <t>Mudancas-Climaticas</t>
        </is>
      </c>
      <c r="K57" s="16" t="inlineStr">
        <is>
          <t>Simulacao-Computacional</t>
        </is>
      </c>
      <c r="L57" s="16" t="n"/>
      <c r="M57" s="16" t="n"/>
      <c r="N57" s="16" t="n"/>
      <c r="O57" s="16" t="n"/>
      <c r="P57" s="18" t="n"/>
      <c r="S57" s="17">
        <f>IFERROR(__xludf.DUMMYFUNCTION("""COMPUTED_VALUE"""),"Resíduo")</f>
        <v/>
      </c>
      <c r="T57" s="17">
        <f>countif(J51:P1872,S51)</f>
        <v/>
      </c>
    </row>
    <row r="58" ht="14.25" customHeight="1" s="19">
      <c r="A58" s="18" t="inlineStr">
        <is>
          <t>OK</t>
        </is>
      </c>
      <c r="B58" s="18" t="inlineStr">
        <is>
          <t>Igor</t>
        </is>
      </c>
      <c r="C58" s="16" t="n">
        <v>52</v>
      </c>
      <c r="D58" s="16" t="inlineStr">
        <is>
          <t>2024</t>
        </is>
      </c>
      <c r="E58" s="16" t="inlineStr">
        <is>
          <t>The influence of socioeconomic context on the thermal comfort of university students in a humid subtropical climate</t>
        </is>
      </c>
      <c r="F58" s="16" t="inlineStr">
        <is>
          <t>CUSTÓDIO, DIEGO ANTÔNIO; Ghisi, Enedir; FORGIARINI RUPP, RICARDO; LODETE BILÉSIMO, THAYANE</t>
        </is>
      </c>
      <c r="G58" s="16" t="inlineStr">
        <is>
          <t>ENERGY AND BUILDINGS, v. 319, p. 114556, 2024. Citações:1</t>
        </is>
      </c>
      <c r="H58" s="14" t="inlineStr">
        <is>
          <t>http://dx.doi.org/10.1016/j.enbuild.2024.114556</t>
        </is>
      </c>
      <c r="I58" s="16" t="inlineStr">
        <is>
          <t>Demografia-Usuario, Conforto-Termico, Escola-Universidade</t>
        </is>
      </c>
      <c r="J58" s="16" t="inlineStr">
        <is>
          <t>Demografia-Usuario</t>
        </is>
      </c>
      <c r="K58" s="16" t="inlineStr">
        <is>
          <t>Conforto-Termico</t>
        </is>
      </c>
      <c r="L58" s="16" t="inlineStr">
        <is>
          <t>Escola-Universidade</t>
        </is>
      </c>
      <c r="M58" s="16" t="n"/>
      <c r="N58" s="16" t="n"/>
      <c r="O58" s="16" t="n"/>
      <c r="P58" s="18" t="n"/>
      <c r="S58" s="17">
        <f>IFERROR(__xludf.DUMMYFUNCTION("""COMPUTED_VALUE"""),"Retrofit")</f>
        <v/>
      </c>
      <c r="T58" s="17">
        <f>countif(J52:P1873,S52)</f>
        <v/>
      </c>
    </row>
    <row r="59" ht="14.25" customHeight="1" s="19">
      <c r="A59" s="18" t="inlineStr">
        <is>
          <t>OK</t>
        </is>
      </c>
      <c r="B59" s="18" t="inlineStr">
        <is>
          <t>Igor</t>
        </is>
      </c>
      <c r="C59" s="16" t="n">
        <v>53</v>
      </c>
      <c r="D59" s="16" t="inlineStr">
        <is>
          <t>2024</t>
        </is>
      </c>
      <c r="E59" s="16" t="inlineStr">
        <is>
          <t>Retrofit strategies to improve energy efficiency in buildings: An integrative review</t>
        </is>
      </c>
      <c r="F59" s="16" t="inlineStr">
        <is>
          <t>OLIVEIRA, C. C.; VAZ, I. C. M.; GHISI, E.</t>
        </is>
      </c>
      <c r="G59" s="16" t="inlineStr">
        <is>
          <t>ENERGY AND BUILDINGS, v. 321, p. 114624, 2024. Citações:52|30</t>
        </is>
      </c>
      <c r="H59" s="14" t="inlineStr">
        <is>
          <t>http://dx.doi.org/10.1016/j.enbuild.2024.114624</t>
        </is>
      </c>
      <c r="I59" s="16" t="inlineStr">
        <is>
          <t>Eletricidade, Revisao-Literatura, Retrofit, Eficiencia-Energetica</t>
        </is>
      </c>
      <c r="J59" s="16" t="inlineStr">
        <is>
          <t>Eletricidade</t>
        </is>
      </c>
      <c r="K59" s="16" t="inlineStr">
        <is>
          <t>Revisao-Literatura</t>
        </is>
      </c>
      <c r="L59" s="16" t="inlineStr">
        <is>
          <t>Retrofit</t>
        </is>
      </c>
      <c r="M59" s="18" t="inlineStr">
        <is>
          <t>Eficiencia-Energetica</t>
        </is>
      </c>
      <c r="N59" s="16" t="n"/>
      <c r="O59" s="16" t="n"/>
      <c r="P59" s="18" t="n"/>
      <c r="S59" s="17">
        <f>IFERROR(__xludf.DUMMYFUNCTION("""COMPUTED_VALUE"""),"Revisao-Literatura")</f>
        <v/>
      </c>
      <c r="T59" s="17">
        <f>countif(J53:P1874,S53)</f>
        <v/>
      </c>
    </row>
    <row r="60" ht="14.25" customHeight="1" s="19">
      <c r="A60" s="18" t="inlineStr">
        <is>
          <t>OK</t>
        </is>
      </c>
      <c r="B60" s="18" t="inlineStr">
        <is>
          <t>Igor</t>
        </is>
      </c>
      <c r="C60" s="16" t="n">
        <v>54</v>
      </c>
      <c r="D60" s="16" t="inlineStr">
        <is>
          <t>2024</t>
        </is>
      </c>
      <c r="E60" s="16" t="inlineStr">
        <is>
          <t>Análise do sistema de aproveitamento de água pluvial a partir da medição dos usos finais de água</t>
        </is>
      </c>
      <c r="F60" s="16" t="inlineStr">
        <is>
          <t>ONEDA, T. M. S.; GHISI, E.</t>
        </is>
      </c>
      <c r="G60" s="16" t="inlineStr">
        <is>
          <t>P@ranoá (UNB), v. 17, p. e53378, 2024</t>
        </is>
      </c>
      <c r="H60" s="14" t="inlineStr">
        <is>
          <t>http://dx.doi.org/10.18830/1679-09442024v17e53378</t>
        </is>
      </c>
      <c r="I60" s="16" t="inlineStr">
        <is>
          <t>Agua-Pluvial, Usos-Finais, Aproveitamento-agua-chuva, Residencial-Unifamiliar</t>
        </is>
      </c>
      <c r="J60" s="16" t="inlineStr">
        <is>
          <t>Agua-Pluvial</t>
        </is>
      </c>
      <c r="K60" s="16" t="inlineStr">
        <is>
          <t>Usos-Finais</t>
        </is>
      </c>
      <c r="L60" s="16" t="inlineStr">
        <is>
          <t>Aproveitamento-agua-chuva</t>
        </is>
      </c>
      <c r="M60" s="16" t="inlineStr">
        <is>
          <t>Residencial-Unifamiliar</t>
        </is>
      </c>
      <c r="N60" s="16" t="n"/>
      <c r="O60" s="16" t="n"/>
      <c r="P60" s="18" t="n"/>
      <c r="S60" s="17">
        <f>IFERROR(__xludf.DUMMYFUNCTION("""COMPUTED_VALUE"""),"Simulacao-Computacional")</f>
        <v/>
      </c>
      <c r="T60" s="17">
        <f>countif(J54:P1875,S54)</f>
        <v/>
      </c>
    </row>
    <row r="61" ht="14.25" customHeight="1" s="19">
      <c r="A61" s="18" t="inlineStr">
        <is>
          <t>OK</t>
        </is>
      </c>
      <c r="B61" s="18" t="inlineStr">
        <is>
          <t>Igor</t>
        </is>
      </c>
      <c r="C61" s="16" t="n">
        <v>55</v>
      </c>
      <c r="D61" s="16" t="inlineStr">
        <is>
          <t>2024</t>
        </is>
      </c>
      <c r="E61" s="16" t="inlineStr">
        <is>
          <t>Life Cycle Assessment of construction components of schools in southern Brazil</t>
        </is>
      </c>
      <c r="F61" s="16" t="inlineStr">
        <is>
          <t>FIATES, J. R.; GHISI, E.</t>
        </is>
      </c>
      <c r="G61" s="16" t="inlineStr">
        <is>
          <t>EUROPEAN JOURNAL OF SUSTAINABLE DEVELOPMENT, v. 13, p. 57-70, 2024</t>
        </is>
      </c>
      <c r="H61" s="14" t="inlineStr">
        <is>
          <t>http://dx.doi.org/10.14207/ejsd.2024.v13n4p57</t>
        </is>
      </c>
      <c r="I61" s="16" t="inlineStr">
        <is>
          <t>ACV, Envoltoria, Escola-Universidade</t>
        </is>
      </c>
      <c r="J61" s="16" t="inlineStr">
        <is>
          <t>ACV</t>
        </is>
      </c>
      <c r="K61" s="16" t="inlineStr">
        <is>
          <t>Envoltoria</t>
        </is>
      </c>
      <c r="L61" s="16" t="inlineStr">
        <is>
          <t>Escola-Universidade</t>
        </is>
      </c>
      <c r="M61" s="16" t="n"/>
      <c r="N61" s="16" t="n"/>
      <c r="O61" s="16" t="n"/>
      <c r="P61" s="18" t="n"/>
      <c r="S61" s="17">
        <f>IFERROR(__xludf.DUMMYFUNCTION("""COMPUTED_VALUE"""),"Sombreamento")</f>
        <v/>
      </c>
      <c r="T61" s="17">
        <f>countif(J55:P1876,S55)</f>
        <v/>
      </c>
    </row>
    <row r="62" ht="14.25" customHeight="1" s="19">
      <c r="A62" s="18" t="inlineStr">
        <is>
          <t>OK</t>
        </is>
      </c>
      <c r="B62" s="18" t="inlineStr">
        <is>
          <t>Igor</t>
        </is>
      </c>
      <c r="C62" s="16" t="n">
        <v>56</v>
      </c>
      <c r="D62" s="16" t="inlineStr">
        <is>
          <t>2024</t>
        </is>
      </c>
      <c r="E62" s="16" t="inlineStr">
        <is>
          <t>Effectiveness of Cool and Green Roofs Inside and Outside Buildings in the Brazilian Context</t>
        </is>
      </c>
      <c r="F62" s="16" t="inlineStr">
        <is>
          <t>SCOLARO, T. P.; GHISI, E.; SILVA, C. M.</t>
        </is>
      </c>
      <c r="G62" s="16" t="inlineStr">
        <is>
          <t>Sustainability, v. 16, p. 8104, 2024. Citações:3</t>
        </is>
      </c>
      <c r="H62" s="14" t="inlineStr">
        <is>
          <t>http://dx.doi.org/10.3390/su16188104</t>
        </is>
      </c>
      <c r="I62" s="16" t="inlineStr">
        <is>
          <t>Telhado-Frio, Telhado-Verde, Eletricidade, Escala-Urbana, Eficiencia-Energetica</t>
        </is>
      </c>
      <c r="J62" s="16" t="inlineStr">
        <is>
          <t>Telhado-Frio</t>
        </is>
      </c>
      <c r="K62" s="16" t="inlineStr">
        <is>
          <t>Telhado-Verde</t>
        </is>
      </c>
      <c r="L62" s="16" t="inlineStr">
        <is>
          <t>Eletricidade</t>
        </is>
      </c>
      <c r="M62" s="16" t="inlineStr">
        <is>
          <t>Escala-Urbana</t>
        </is>
      </c>
      <c r="N62" s="18" t="inlineStr">
        <is>
          <t>Eficiencia-Energetica</t>
        </is>
      </c>
      <c r="O62" s="16" t="n"/>
      <c r="P62" s="18" t="n"/>
      <c r="S62" s="17">
        <f>IFERROR(__xludf.DUMMYFUNCTION("""COMPUTED_VALUE"""),"Telhado-Frio")</f>
        <v/>
      </c>
      <c r="T62" s="17">
        <f>countif(J56:P1877,S56)</f>
        <v/>
      </c>
    </row>
    <row r="63" ht="14.25" customHeight="1" s="19">
      <c r="A63" s="18" t="inlineStr">
        <is>
          <t>OK</t>
        </is>
      </c>
      <c r="B63" s="18" t="inlineStr">
        <is>
          <t>Igor</t>
        </is>
      </c>
      <c r="C63" s="16" t="n">
        <v>57</v>
      </c>
      <c r="D63" s="16" t="inlineStr">
        <is>
          <t>2024</t>
        </is>
      </c>
      <c r="E63" s="16" t="inlineStr">
        <is>
          <t>Enhancing building sustainability: integrating user behaviour and solar orientation on the thermal performance of houses</t>
        </is>
      </c>
      <c r="F63" s="16" t="inlineStr">
        <is>
          <t>BARBOSA, K. H.; SCOLARO, T. P.; GHISI, E.</t>
        </is>
      </c>
      <c r="G63" s="16" t="inlineStr">
        <is>
          <t>Sustainability, v. 16, p. 8349, 2024. Citações:3</t>
        </is>
      </c>
      <c r="H63" s="14" t="inlineStr">
        <is>
          <t>http://dx.doi.org/10.3390/su16198349</t>
        </is>
      </c>
      <c r="I63" s="16" t="inlineStr">
        <is>
          <t>Comportamento-Usuario, Conforto-Termico, Residencial-Unifamiliar, Eletricidade, Eficiencia-Energetica</t>
        </is>
      </c>
      <c r="J63" s="16" t="inlineStr">
        <is>
          <t>Comportamento-Usuario</t>
        </is>
      </c>
      <c r="K63" s="16" t="inlineStr">
        <is>
          <t>Conforto-Termico</t>
        </is>
      </c>
      <c r="L63" s="16" t="inlineStr">
        <is>
          <t>Residencial-Unifamiliar</t>
        </is>
      </c>
      <c r="M63" s="16" t="inlineStr">
        <is>
          <t>Eletricidade</t>
        </is>
      </c>
      <c r="N63" s="18" t="inlineStr">
        <is>
          <t>Eficiencia-Energetica</t>
        </is>
      </c>
      <c r="O63" s="16" t="n"/>
      <c r="P63" s="18" t="n"/>
      <c r="S63" s="17">
        <f>IFERROR(__xludf.DUMMYFUNCTION("""COMPUTED_VALUE"""),"Telhado-Verde")</f>
        <v/>
      </c>
      <c r="T63" s="17">
        <f>countif(J57:P1878,S57)</f>
        <v/>
      </c>
    </row>
    <row r="64" ht="14.25" customHeight="1" s="19">
      <c r="A64" s="18" t="inlineStr">
        <is>
          <t>OK</t>
        </is>
      </c>
      <c r="B64" s="18" t="inlineStr">
        <is>
          <t>Igor</t>
        </is>
      </c>
      <c r="C64" s="16" t="n">
        <v>58</v>
      </c>
      <c r="D64" s="16" t="inlineStr">
        <is>
          <t>2024</t>
        </is>
      </c>
      <c r="E64" s="16" t="inlineStr">
        <is>
          <t>Rainwater harvesting through roofs and stormwater harvesting through pervious pavements: A Life Cycle Assessment and decision-making comparison</t>
        </is>
      </c>
      <c r="F64" s="16" t="inlineStr">
        <is>
          <t>VAZ, I. C. M.; GHISI, E.</t>
        </is>
      </c>
      <c r="G64" s="16" t="inlineStr">
        <is>
          <t>JOURNAL OF CLEANER PRODUCTION, v. 476, p. 143782, 2024. Citações:8</t>
        </is>
      </c>
      <c r="H64" s="14" t="inlineStr">
        <is>
          <t>http://dx.doi.org/10.1016/j.jclepro.2024.143782</t>
        </is>
      </c>
      <c r="I64" s="16" t="inlineStr">
        <is>
          <t>Agua-Pluvial, Pavimento-Permeavel, ACV, Escola-Universidade, Aproveitamento-agua-chuva</t>
        </is>
      </c>
      <c r="J64" s="16" t="inlineStr">
        <is>
          <t>Agua-Pluvial</t>
        </is>
      </c>
      <c r="K64" s="16" t="inlineStr">
        <is>
          <t>Pavimento-Permeavel</t>
        </is>
      </c>
      <c r="L64" s="16" t="inlineStr">
        <is>
          <t>ACV</t>
        </is>
      </c>
      <c r="M64" s="16" t="inlineStr">
        <is>
          <t>Escola-Universidade</t>
        </is>
      </c>
      <c r="N64" s="16" t="inlineStr">
        <is>
          <t>Aproveitamento-agua-chuva</t>
        </is>
      </c>
      <c r="O64" s="16" t="n"/>
      <c r="P64" s="18" t="n"/>
      <c r="S64" s="17">
        <f>IFERROR(__xludf.DUMMYFUNCTION("""COMPUTED_VALUE"""),"Transporte")</f>
        <v/>
      </c>
      <c r="T64" s="17">
        <f>countif(J58:P1879,S58)</f>
        <v/>
      </c>
    </row>
    <row r="65" ht="14.25" customHeight="1" s="19">
      <c r="A65" s="18" t="inlineStr">
        <is>
          <t>OK</t>
        </is>
      </c>
      <c r="B65" s="18" t="inlineStr">
        <is>
          <t>Igor</t>
        </is>
      </c>
      <c r="C65" s="16" t="n">
        <v>59</v>
      </c>
      <c r="D65" s="16" t="inlineStr">
        <is>
          <t>2024</t>
        </is>
      </c>
      <c r="E65" s="16" t="inlineStr">
        <is>
          <t>An Inventory Comparison of Harvesting Rainwater from Roofs and Stormwater from Pervious Pavements</t>
        </is>
      </c>
      <c r="F65" s="16" t="inlineStr">
        <is>
          <t>VAZ, I. C. M.; GHISI, E.; THIVES, L.P.</t>
        </is>
      </c>
      <c r="G65" s="16" t="inlineStr">
        <is>
          <t>Water Resources Management, v. -, p. ---, 2024</t>
        </is>
      </c>
      <c r="H65" s="14" t="inlineStr">
        <is>
          <t>http://dx.doi.org/10.1007/s11269-024-04004-6</t>
        </is>
      </c>
      <c r="I65" s="16" t="inlineStr">
        <is>
          <t>Agua-Pluvial, Pavimento-Permeavel, ACV, Escola-Universidade, Hidraulica, Aproveitamento-agua-chuva</t>
        </is>
      </c>
      <c r="J65" s="16" t="inlineStr">
        <is>
          <t>Agua-Pluvial</t>
        </is>
      </c>
      <c r="K65" s="16" t="inlineStr">
        <is>
          <t>Pavimento-Permeavel</t>
        </is>
      </c>
      <c r="L65" s="16" t="inlineStr">
        <is>
          <t>ACV</t>
        </is>
      </c>
      <c r="M65" s="16" t="inlineStr">
        <is>
          <t>Escola-Universidade</t>
        </is>
      </c>
      <c r="N65" s="16" t="inlineStr">
        <is>
          <t>Hidraulica</t>
        </is>
      </c>
      <c r="O65" s="16" t="inlineStr">
        <is>
          <t>Aproveitamento-agua-chuva</t>
        </is>
      </c>
      <c r="P65" s="18" t="n"/>
      <c r="S65" s="17">
        <f>IFERROR(__xludf.DUMMYFUNCTION("""COMPUTED_VALUE"""),"Usos-Finais")</f>
        <v/>
      </c>
      <c r="T65" s="17">
        <f>countif(J59:P1880,S59)</f>
        <v/>
      </c>
    </row>
    <row r="66" ht="14.25" customHeight="1" s="19">
      <c r="A66" s="18" t="inlineStr">
        <is>
          <t>OK</t>
        </is>
      </c>
      <c r="B66" s="18" t="inlineStr">
        <is>
          <t>Igor</t>
        </is>
      </c>
      <c r="C66" s="16" t="n">
        <v>60</v>
      </c>
      <c r="D66" s="16" t="inlineStr">
        <is>
          <t>2023</t>
        </is>
      </c>
      <c r="E66" s="16" t="inlineStr">
        <is>
          <t>Potencial de economia de água potável utilizando água da chuva: estudo de caso no Brasil</t>
        </is>
      </c>
      <c r="F66" s="16" t="inlineStr">
        <is>
          <t>RIBEIRO, L. M. L.; GHISI, E.</t>
        </is>
      </c>
      <c r="G66" s="16" t="inlineStr">
        <is>
          <t>AMBIENTE CONSTRUÍDO (ONLINE), v. 23, p. 47-64, 2023</t>
        </is>
      </c>
      <c r="H66" s="14" t="inlineStr">
        <is>
          <t>https://www.scielo.br/j/ac/a/Db7ntHnfBKwLqSrJWsyM9Tt/?lang=en</t>
        </is>
      </c>
      <c r="I66" s="16" t="inlineStr">
        <is>
          <t>Agua-Pluvial, Agua-Potavel, Residencial-Multifamiliar, Aproveitamento-agua-chuva</t>
        </is>
      </c>
      <c r="J66" s="16" t="inlineStr">
        <is>
          <t>Agua-Pluvial</t>
        </is>
      </c>
      <c r="K66" s="16" t="inlineStr">
        <is>
          <t>Agua-Potavel</t>
        </is>
      </c>
      <c r="L66" s="16" t="inlineStr">
        <is>
          <t>Residencial-Multifamiliar</t>
        </is>
      </c>
      <c r="M66" s="16" t="inlineStr">
        <is>
          <t>Aproveitamento-agua-chuva</t>
        </is>
      </c>
      <c r="N66" s="16" t="n"/>
      <c r="O66" s="16" t="n"/>
      <c r="P66" s="18" t="n"/>
      <c r="S66" s="17">
        <f>IFERROR(__xludf.DUMMYFUNCTION("""COMPUTED_VALUE"""),"Ventilacao")</f>
        <v/>
      </c>
      <c r="T66" s="17">
        <f>countif(J60:P1881,S60)</f>
        <v/>
      </c>
    </row>
    <row r="67" ht="14.25" customHeight="1" s="19">
      <c r="A67" s="18" t="inlineStr">
        <is>
          <t>OK</t>
        </is>
      </c>
      <c r="B67" s="18" t="inlineStr">
        <is>
          <t>Igor</t>
        </is>
      </c>
      <c r="C67" s="16" t="n">
        <v>61</v>
      </c>
      <c r="D67" s="16" t="inlineStr">
        <is>
          <t>2023</t>
        </is>
      </c>
      <c r="E67" s="16" t="inlineStr">
        <is>
          <t>Impact of residential rainwater harvesting on stormwater runoff</t>
        </is>
      </c>
      <c r="F67" s="16" t="inlineStr">
        <is>
          <t>CUSTODIO, D. A.; GHISI, E.</t>
        </is>
      </c>
      <c r="G67" s="16" t="inlineStr">
        <is>
          <t>JOURNAL OF ENVIRONMENTAL MANAGEMENT, v. 326, p. 116814, 2023. Citações:24|28</t>
        </is>
      </c>
      <c r="H67" s="14" t="inlineStr">
        <is>
          <t>http://dx.doi.org/10.1016/j.jenvman.2022.116814</t>
        </is>
      </c>
      <c r="I67" s="16" t="inlineStr">
        <is>
          <t>Agua-Pluvial, Escala-Urbana, Hidraulica, Aproveitamento-agua-chuva</t>
        </is>
      </c>
      <c r="J67" s="16" t="inlineStr">
        <is>
          <t>Agua-Pluvial</t>
        </is>
      </c>
      <c r="K67" s="16" t="inlineStr">
        <is>
          <t>Escala-Urbana</t>
        </is>
      </c>
      <c r="L67" s="16" t="inlineStr">
        <is>
          <t>Hidraulica</t>
        </is>
      </c>
      <c r="M67" s="16" t="inlineStr">
        <is>
          <t>Aproveitamento-agua-chuva</t>
        </is>
      </c>
      <c r="N67" s="16" t="n"/>
      <c r="O67" s="16" t="n"/>
      <c r="P67" s="18" t="n"/>
      <c r="S67" s="17">
        <f>IFERROR(__xludf.DUMMYFUNCTION("""COMPUTED_VALUE"""),"Vidros-E-Janelas")</f>
        <v/>
      </c>
      <c r="T67" s="17">
        <f>countif(J61:P1882,S61)</f>
        <v/>
      </c>
    </row>
    <row r="68" ht="14.25" customHeight="1" s="19">
      <c r="A68" s="18" t="inlineStr">
        <is>
          <t>OK</t>
        </is>
      </c>
      <c r="B68" s="18" t="inlineStr">
        <is>
          <t>Igor</t>
        </is>
      </c>
      <c r="C68" s="16" t="n">
        <v>62</v>
      </c>
      <c r="D68" s="16" t="inlineStr">
        <is>
          <t>2023</t>
        </is>
      </c>
      <c r="E68" s="16" t="inlineStr">
        <is>
          <t>Financial Feasibility of Harvesting Rainwater from Permeable Pavements: a Case Study in a City Square</t>
        </is>
      </c>
      <c r="F68" s="16" t="inlineStr">
        <is>
          <t>KLEIN, C. W.; MAYKOT, J. K.; GHISI, E.; THIVES, L.P.</t>
        </is>
      </c>
      <c r="G68" s="16" t="inlineStr">
        <is>
          <t>Sci, v. 5, p. 1, 2023. Citações:2|2</t>
        </is>
      </c>
      <c r="H68" s="14" t="inlineStr">
        <is>
          <t>http://dx.doi.org/10.3390/sci5010001</t>
        </is>
      </c>
      <c r="I68" s="16" t="inlineStr">
        <is>
          <t>CCV, Pavimento-Permeavel, Agua-Pluvial</t>
        </is>
      </c>
      <c r="J68" s="16" t="inlineStr">
        <is>
          <t>CCV</t>
        </is>
      </c>
      <c r="K68" s="16" t="inlineStr">
        <is>
          <t>Pavimento-Permeavel</t>
        </is>
      </c>
      <c r="L68" s="16" t="inlineStr">
        <is>
          <t>Agua-Pluvial</t>
        </is>
      </c>
      <c r="M68" s="16" t="n"/>
      <c r="N68" s="16" t="n"/>
      <c r="O68" s="16" t="n"/>
      <c r="P68" s="18" t="n"/>
    </row>
    <row r="69" ht="14.25" customHeight="1" s="19">
      <c r="A69" s="18" t="inlineStr">
        <is>
          <t>OK</t>
        </is>
      </c>
      <c r="B69" s="18" t="inlineStr">
        <is>
          <t>Igor</t>
        </is>
      </c>
      <c r="C69" s="16" t="n">
        <v>63</v>
      </c>
      <c r="D69" s="16" t="inlineStr">
        <is>
          <t>2023</t>
        </is>
      </c>
      <c r="E69" s="16" t="inlineStr">
        <is>
          <t>Influence of Design Variables on the Financial Feasibility of Rainwater Harvesting Systems</t>
        </is>
      </c>
      <c r="F69" s="16" t="inlineStr">
        <is>
          <t>ISTCHUK, R. N.; GHISI, E.</t>
        </is>
      </c>
      <c r="G69" s="16" t="inlineStr">
        <is>
          <t>Water, v. 15, p. 1112, 2023. Citações:10|8</t>
        </is>
      </c>
      <c r="H69" s="14" t="inlineStr">
        <is>
          <t>http://dx.doi.org/10.3390/w15061112</t>
        </is>
      </c>
      <c r="I69" s="16" t="inlineStr">
        <is>
          <t>CCV, Agua-Pluvial, Precipitacao, Aproveitamento-agua-chuva</t>
        </is>
      </c>
      <c r="J69" s="16" t="inlineStr">
        <is>
          <t>CCV</t>
        </is>
      </c>
      <c r="K69" s="16" t="inlineStr">
        <is>
          <t>Agua-Pluvial</t>
        </is>
      </c>
      <c r="L69" s="16" t="inlineStr">
        <is>
          <t>Precipitacao</t>
        </is>
      </c>
      <c r="M69" s="16" t="inlineStr">
        <is>
          <t>Aproveitamento-agua-chuva</t>
        </is>
      </c>
      <c r="N69" s="16" t="n"/>
      <c r="O69" s="16" t="n"/>
      <c r="P69" s="18" t="n"/>
    </row>
    <row r="70" ht="14.25" customHeight="1" s="19">
      <c r="A70" s="18" t="inlineStr">
        <is>
          <t>OK</t>
        </is>
      </c>
      <c r="B70" s="18" t="inlineStr">
        <is>
          <t>Igor</t>
        </is>
      </c>
      <c r="C70" s="16" t="n">
        <v>64</v>
      </c>
      <c r="D70" s="16" t="inlineStr">
        <is>
          <t>2023</t>
        </is>
      </c>
      <c r="E70" s="16" t="inlineStr">
        <is>
          <t>Influência do padrão de uso e ocupação de habitações multifamiliares no consumo energético da edificação</t>
        </is>
      </c>
      <c r="F70" s="16" t="inlineStr">
        <is>
          <t>PIEROZAN, E.; SCOLARO, T. P.; WATZKO, E. S.; GHISI, E.</t>
        </is>
      </c>
      <c r="G70" s="16" t="inlineStr">
        <is>
          <t>AMBIENTE CONSTRUÍDO (ONLINE), v. 23, p. 43-61, 2023</t>
        </is>
      </c>
      <c r="H70" s="14" t="inlineStr">
        <is>
          <t>http://dx.doi.org/10.1590/s1678-86212023000400690</t>
        </is>
      </c>
      <c r="I70" s="16" t="inlineStr">
        <is>
          <t>Comportamento-Usuario, Eletricidade, Residencial-Multifamiliar, Eficiencia-Energetica</t>
        </is>
      </c>
      <c r="J70" s="16" t="inlineStr">
        <is>
          <t>Comportamento-Usuario</t>
        </is>
      </c>
      <c r="K70" s="16" t="inlineStr">
        <is>
          <t>Eletricidade</t>
        </is>
      </c>
      <c r="L70" s="16" t="inlineStr">
        <is>
          <t>Residencial-Multifamiliar</t>
        </is>
      </c>
      <c r="M70" s="18" t="inlineStr">
        <is>
          <t>Eficiencia-Energetica</t>
        </is>
      </c>
      <c r="N70" s="16" t="n"/>
      <c r="O70" s="16" t="n"/>
      <c r="P70" s="18" t="n"/>
    </row>
    <row r="71" ht="14.25" customHeight="1" s="19">
      <c r="A71" s="18" t="inlineStr">
        <is>
          <t>OK</t>
        </is>
      </c>
      <c r="B71" s="18" t="inlineStr">
        <is>
          <t>Igor</t>
        </is>
      </c>
      <c r="C71" s="16" t="n">
        <v>65</v>
      </c>
      <c r="D71" s="16" t="inlineStr">
        <is>
          <t>2023</t>
        </is>
      </c>
      <c r="E71" s="16" t="inlineStr">
        <is>
          <t>Potential use of rainwater as a tool for fire stations and firefighting: Literature review, environmental and cost assessments</t>
        </is>
      </c>
      <c r="F71" s="16" t="inlineStr">
        <is>
          <t>VAZ, I. C. M.; GHISI, E.; SOUZA, J. C.</t>
        </is>
      </c>
      <c r="G71" s="16" t="inlineStr">
        <is>
          <t>SCIENCE OF THE TOTAL ENVIRONMENT, v. 898, p. 165510, 2023. Citações:5|5</t>
        </is>
      </c>
      <c r="H71" s="14" t="inlineStr">
        <is>
          <t>http://dx.doi.org/10.1016/j.scitotenv.2023.165510</t>
        </is>
      </c>
      <c r="I71" s="16" t="inlineStr">
        <is>
          <t>Agua-Pluvial, ACV, CCV, Industrial-Servicos, Preventivo-Incendio, Aproveitamento-agua-chuva</t>
        </is>
      </c>
      <c r="J71" s="16" t="inlineStr">
        <is>
          <t>Agua-Pluvial</t>
        </is>
      </c>
      <c r="K71" s="16" t="inlineStr">
        <is>
          <t>ACV</t>
        </is>
      </c>
      <c r="L71" s="16" t="inlineStr">
        <is>
          <t>CCV</t>
        </is>
      </c>
      <c r="M71" s="16" t="inlineStr">
        <is>
          <t>Industrial-Servicos</t>
        </is>
      </c>
      <c r="N71" s="16" t="inlineStr">
        <is>
          <t>Preventivo-Incendio</t>
        </is>
      </c>
      <c r="O71" s="16" t="inlineStr">
        <is>
          <t>Aproveitamento-agua-chuva</t>
        </is>
      </c>
      <c r="P71" s="18" t="n"/>
    </row>
    <row r="72" ht="14.25" customHeight="1" s="19">
      <c r="A72" s="18" t="inlineStr">
        <is>
          <t>OK</t>
        </is>
      </c>
      <c r="B72" s="18" t="inlineStr">
        <is>
          <t>Igor</t>
        </is>
      </c>
      <c r="C72" s="16" t="n">
        <v>66</v>
      </c>
      <c r="D72" s="16" t="inlineStr">
        <is>
          <t>2023</t>
        </is>
      </c>
      <c r="E72" s="16" t="inlineStr">
        <is>
          <t>Identificação de emissões atmosféricas geradas em usinas de asfalto e proposição de protocolo de controle</t>
        </is>
      </c>
      <c r="F72" s="16" t="inlineStr">
        <is>
          <t>SANTOS, M. B.; SANTINI, N.; THIVES, L.P.; THIVES JUNIOR, J. J.; GHISI, E.</t>
        </is>
      </c>
      <c r="G72" s="16" t="inlineStr">
        <is>
          <t>Revista Ação Sustentável Global, v. 3, p. 83-111, 2023.  DOI</t>
        </is>
      </c>
      <c r="H72" s="14" t="inlineStr">
        <is>
          <t>https://sustentavelglobal.com/cvbeesi/includes/pt-br/conferencia.php?id=32&amp;dia=26-05-2023</t>
        </is>
      </c>
      <c r="I72" s="16" t="inlineStr">
        <is>
          <t>Escala-Urbana, ACV</t>
        </is>
      </c>
      <c r="J72" s="16" t="inlineStr">
        <is>
          <t>Escala-Urbana</t>
        </is>
      </c>
      <c r="K72" s="16" t="inlineStr">
        <is>
          <t>ACV</t>
        </is>
      </c>
      <c r="L72" s="16" t="n"/>
      <c r="M72" s="16" t="n"/>
      <c r="N72" s="16" t="n"/>
      <c r="O72" s="16" t="n"/>
      <c r="P72" s="18" t="n"/>
    </row>
    <row r="73" ht="14.25" customHeight="1" s="19">
      <c r="A73" s="18" t="inlineStr">
        <is>
          <t>OK</t>
        </is>
      </c>
      <c r="B73" s="18" t="inlineStr">
        <is>
          <t>Igor</t>
        </is>
      </c>
      <c r="C73" s="16" t="n">
        <v>67</v>
      </c>
      <c r="D73" s="16" t="inlineStr">
        <is>
          <t>2023</t>
        </is>
      </c>
      <c r="E73" s="16" t="inlineStr">
        <is>
          <t>Climatic conditions as a guideline to mass customisation in Brazilian housing</t>
        </is>
      </c>
      <c r="F73" s="16" t="inlineStr">
        <is>
          <t>SOUZA, L. P.; BAVARESCO, M. V.; GERALDI, M. S.; VAZ, C. E. V.; GHISI, E.</t>
        </is>
      </c>
      <c r="G73" s="16" t="inlineStr">
        <is>
          <t>PARC : PESQUISA EM ARQUITETURA E CONSTRUÇÃO, v. 14, p. e023022, 2023</t>
        </is>
      </c>
      <c r="H73" s="14" t="inlineStr">
        <is>
          <t>http://dx.doi.org/10.20396/parc.v14i00.8672170</t>
        </is>
      </c>
      <c r="I73" s="16" t="inlineStr">
        <is>
          <t>Mudancas-Climaticas, Residencial-Unifamiliar, Conforto-Termico, Eletricidade, Desempenho-Termico, Simulacao-Computacional, Eficiencia-Energetica</t>
        </is>
      </c>
      <c r="J73" s="16" t="inlineStr">
        <is>
          <t>Mudancas-Climaticas</t>
        </is>
      </c>
      <c r="K73" s="16" t="inlineStr">
        <is>
          <t>Residencial-Unifamiliar</t>
        </is>
      </c>
      <c r="L73" s="16" t="inlineStr">
        <is>
          <t>Conforto-Termico</t>
        </is>
      </c>
      <c r="M73" s="16" t="inlineStr">
        <is>
          <t>Eletricidade</t>
        </is>
      </c>
      <c r="N73" s="16" t="inlineStr">
        <is>
          <t>Desempenho-Termico</t>
        </is>
      </c>
      <c r="O73" s="16" t="inlineStr">
        <is>
          <t>Simulacao-Computacional</t>
        </is>
      </c>
      <c r="P73" s="18" t="inlineStr">
        <is>
          <t>Eficiencia-Energetica</t>
        </is>
      </c>
    </row>
    <row r="74" ht="14.25" customHeight="1" s="19">
      <c r="A74" s="18" t="inlineStr">
        <is>
          <t>OK</t>
        </is>
      </c>
      <c r="B74" s="18" t="inlineStr">
        <is>
          <t>Igor</t>
        </is>
      </c>
      <c r="C74" s="16" t="n">
        <v>68</v>
      </c>
      <c r="D74" s="16" t="inlineStr">
        <is>
          <t>2023</t>
        </is>
      </c>
      <c r="E74" s="16" t="inlineStr">
        <is>
          <t>Sustainable Rainwater Management and Life Cycle Assessment: Challenges and Perspectives</t>
        </is>
      </c>
      <c r="F74" s="16" t="inlineStr">
        <is>
          <t>VAZ, I. C. M.; ISTCHUK, R. N.; ONEDA, T. M. S.; GHISI, E.</t>
        </is>
      </c>
      <c r="G74" s="16" t="inlineStr">
        <is>
          <t>Sustainability, v. 15, p. 12133, 2023. Citações:10|9</t>
        </is>
      </c>
      <c r="H74" s="14" t="inlineStr">
        <is>
          <t>http://dx.doi.org/10.3390/su151612133</t>
        </is>
      </c>
      <c r="I74" s="16" t="inlineStr">
        <is>
          <t>Agua-Pluvial, ACV, Revisao-Literatura, Aproveitamento-agua-chuva</t>
        </is>
      </c>
      <c r="J74" s="16" t="inlineStr">
        <is>
          <t>Agua-Pluvial</t>
        </is>
      </c>
      <c r="K74" s="16" t="inlineStr">
        <is>
          <t>ACV</t>
        </is>
      </c>
      <c r="L74" s="16" t="inlineStr">
        <is>
          <t>Revisao-Literatura</t>
        </is>
      </c>
      <c r="M74" s="16" t="inlineStr">
        <is>
          <t>Aproveitamento-agua-chuva</t>
        </is>
      </c>
      <c r="N74" s="16" t="n"/>
      <c r="O74" s="16" t="n"/>
      <c r="P74" s="18" t="n"/>
    </row>
    <row r="75" ht="14.25" customHeight="1" s="19">
      <c r="A75" s="18" t="inlineStr">
        <is>
          <t>OK</t>
        </is>
      </c>
      <c r="B75" s="18" t="inlineStr">
        <is>
          <t>Igor</t>
        </is>
      </c>
      <c r="C75" s="16" t="n">
        <v>69</v>
      </c>
      <c r="D75" s="16" t="inlineStr">
        <is>
          <t>2023</t>
        </is>
      </c>
      <c r="E75" s="16" t="inlineStr">
        <is>
          <t>Relationship between self-assessed productivity, gender and age in mixed-mode and fully air-conditioned offices in Florianópolis, Brazil</t>
        </is>
      </c>
      <c r="F75" s="16" t="inlineStr">
        <is>
          <t>REALI, J. P. G.; SCOLARO, T. P.; GHISI, E.; RUPP, R.F.</t>
        </is>
      </c>
      <c r="G75" s="16" t="inlineStr">
        <is>
          <t>Sustainability, v. 15, p. 12377, 2023. Citações:1</t>
        </is>
      </c>
      <c r="H75" s="14" t="inlineStr">
        <is>
          <t>http://dx.doi.org/10.3390/su151612377</t>
        </is>
      </c>
      <c r="I75" s="16" t="inlineStr">
        <is>
          <t>Produtividade, Demografia-Usuario, Comercial-Escritorio, Ventilacao</t>
        </is>
      </c>
      <c r="J75" s="16" t="inlineStr">
        <is>
          <t>Produtividade</t>
        </is>
      </c>
      <c r="K75" s="16" t="inlineStr">
        <is>
          <t>Demografia-Usuario</t>
        </is>
      </c>
      <c r="L75" s="16" t="inlineStr">
        <is>
          <t>Comercial-Escritorio</t>
        </is>
      </c>
      <c r="M75" s="16" t="inlineStr">
        <is>
          <t>Ventilacao</t>
        </is>
      </c>
      <c r="N75" s="16" t="n"/>
      <c r="O75" s="16" t="n"/>
      <c r="P75" s="18" t="n"/>
    </row>
    <row r="76" ht="14.25" customHeight="1" s="19">
      <c r="A76" s="18" t="inlineStr">
        <is>
          <t>OK</t>
        </is>
      </c>
      <c r="B76" s="18" t="inlineStr">
        <is>
          <t>Igor</t>
        </is>
      </c>
      <c r="C76" s="16" t="n">
        <v>70</v>
      </c>
      <c r="D76" s="16" t="inlineStr">
        <is>
          <t>2023</t>
        </is>
      </c>
      <c r="E76" s="16" t="inlineStr">
        <is>
          <t>Finding Patterns of Construction Systems in Low-Income Housing for Thermal and Energy Performance Evaluation through Cluster Analysis</t>
        </is>
      </c>
      <c r="F76" s="16" t="inlineStr">
        <is>
          <t>SCHAEFER, ALINE; SCOLARO, TAYLANA PICCININI; Ghisi, Enedir</t>
        </is>
      </c>
      <c r="G76" s="16" t="inlineStr">
        <is>
          <t>Sustainability, v. 15, p. 12793, 2023. Citações:4|2</t>
        </is>
      </c>
      <c r="H76" s="14" t="inlineStr">
        <is>
          <t>http://dx.doi.org/10.3390/su151712793</t>
        </is>
      </c>
      <c r="I76" s="16" t="inlineStr">
        <is>
          <t>Benchmarking, Habitacao-Interesse-Social, Analise-Agrupamento, Residencial-Unifamiliar, Eficiencia-Energetica</t>
        </is>
      </c>
      <c r="J76" s="16" t="inlineStr">
        <is>
          <t>Benchmarking</t>
        </is>
      </c>
      <c r="K76" s="16" t="inlineStr">
        <is>
          <t>Habitacao-Interesse-Social</t>
        </is>
      </c>
      <c r="L76" s="16" t="inlineStr">
        <is>
          <t>Analise-Agrupamento</t>
        </is>
      </c>
      <c r="M76" s="16" t="inlineStr">
        <is>
          <t>Residencial-Unifamiliar</t>
        </is>
      </c>
      <c r="N76" s="18" t="inlineStr">
        <is>
          <t>Eficiencia-Energetica</t>
        </is>
      </c>
      <c r="O76" s="16" t="n"/>
      <c r="P76" s="18" t="n"/>
    </row>
    <row r="77" ht="14.25" customHeight="1" s="19">
      <c r="A77" s="18" t="inlineStr">
        <is>
          <t>OK</t>
        </is>
      </c>
      <c r="B77" s="18" t="inlineStr">
        <is>
          <t>Igor</t>
        </is>
      </c>
      <c r="C77" s="16" t="n">
        <v>71</v>
      </c>
      <c r="D77" s="16" t="inlineStr">
        <is>
          <t>2023</t>
        </is>
      </c>
      <c r="E77" s="16" t="inlineStr">
        <is>
          <t>Water heating systems performance in multi-family residential buildings in Brazil</t>
        </is>
      </c>
      <c r="F77" s="16" t="inlineStr">
        <is>
          <t>SANGOI, J. M.; SCOLARO, T. P.; GHISI, E.</t>
        </is>
      </c>
      <c r="G77" s="16" t="inlineStr">
        <is>
          <t>Water, v. 15, p. 3145, 2023. Citações:1</t>
        </is>
      </c>
      <c r="H77" s="14" t="inlineStr">
        <is>
          <t>http://dx.doi.org/10.3390/w15173145</t>
        </is>
      </c>
      <c r="I77" s="16" t="inlineStr">
        <is>
          <t>Aquecimento-Agua, Residencial-Multifamiliar, Eletricidade</t>
        </is>
      </c>
      <c r="J77" s="16" t="inlineStr">
        <is>
          <t>Aquecimento-Agua</t>
        </is>
      </c>
      <c r="K77" s="16" t="inlineStr">
        <is>
          <t>Residencial-Multifamiliar</t>
        </is>
      </c>
      <c r="L77" s="16" t="inlineStr">
        <is>
          <t>Eletricidade</t>
        </is>
      </c>
      <c r="M77" s="16" t="n"/>
      <c r="N77" s="16" t="n"/>
      <c r="O77" s="16" t="n"/>
      <c r="P77" s="18" t="n"/>
    </row>
    <row r="78" ht="14.25" customHeight="1" s="19">
      <c r="A78" s="18" t="inlineStr">
        <is>
          <t>OK</t>
        </is>
      </c>
      <c r="B78" s="18" t="inlineStr">
        <is>
          <t>Igor</t>
        </is>
      </c>
      <c r="C78" s="16" t="n">
        <v>72</v>
      </c>
      <c r="D78" s="16" t="inlineStr">
        <is>
          <t>2023</t>
        </is>
      </c>
      <c r="E78" s="16" t="inlineStr">
        <is>
          <t>Performance of permeable pavement to filter stormwater runoff for non-potable uses in buildings</t>
        </is>
      </c>
      <c r="F78" s="16" t="inlineStr">
        <is>
          <t>THIVES, L.P.; GHISI, E.; LONGO, G.; HAMMES, G.; BELOTTO, T.</t>
        </is>
      </c>
      <c r="G78" s="16" t="inlineStr">
        <is>
          <t>European Journal Of Sustainable Development, v. 12, p. 80-90, 2023. Citações:4</t>
        </is>
      </c>
      <c r="H78" s="14" t="inlineStr">
        <is>
          <t>http://dx.doi.org/10.14207/ejsd.2023.v12n3p80</t>
        </is>
      </c>
      <c r="I78" s="16" t="inlineStr">
        <is>
          <t>Pavimento-Permeavel, Agua-Pluvial, Qualidade-Agua</t>
        </is>
      </c>
      <c r="J78" s="16" t="inlineStr">
        <is>
          <t>Pavimento-Permeavel</t>
        </is>
      </c>
      <c r="K78" s="16" t="inlineStr">
        <is>
          <t>Agua-Pluvial</t>
        </is>
      </c>
      <c r="L78" s="16" t="inlineStr">
        <is>
          <t>Qualidade-Agua</t>
        </is>
      </c>
      <c r="M78" s="16" t="n"/>
      <c r="N78" s="16" t="n"/>
      <c r="O78" s="16" t="n"/>
      <c r="P78" s="18" t="n"/>
    </row>
    <row r="79" ht="14.25" customHeight="1" s="19">
      <c r="A79" s="18" t="inlineStr">
        <is>
          <t>OK</t>
        </is>
      </c>
      <c r="B79" s="18" t="inlineStr">
        <is>
          <t>Igor</t>
        </is>
      </c>
      <c r="C79" s="16" t="n">
        <v>73</v>
      </c>
      <c r="D79" s="16" t="inlineStr">
        <is>
          <t>2022</t>
        </is>
      </c>
      <c r="E79" s="16" t="inlineStr">
        <is>
          <t>Financial feasibility of implementing an automated system to save the cold potable water that would be wasted at the beginning of a hot shower</t>
        </is>
      </c>
      <c r="F79" s="16" t="inlineStr">
        <is>
          <t>IORIS, M. D.; GHISI, E.</t>
        </is>
      </c>
      <c r="G79" s="16" t="inlineStr">
        <is>
          <t>Urban Water Journal, v. 19, p. 22-31, 2022. Citações:3|4</t>
        </is>
      </c>
      <c r="H79" s="14" t="inlineStr">
        <is>
          <t>http://dx.doi.org/10.1080/1573062X.2021.1949479</t>
        </is>
      </c>
      <c r="I79" s="16" t="inlineStr">
        <is>
          <t>CCV, Agua-Potavel, Aquecimento-Agua</t>
        </is>
      </c>
      <c r="J79" s="16" t="inlineStr">
        <is>
          <t>CCV</t>
        </is>
      </c>
      <c r="K79" s="16" t="inlineStr">
        <is>
          <t>Agua-Potavel</t>
        </is>
      </c>
      <c r="L79" s="16" t="inlineStr">
        <is>
          <t>Aquecimento-Agua</t>
        </is>
      </c>
      <c r="M79" s="16" t="n"/>
      <c r="N79" s="16" t="n"/>
      <c r="O79" s="16" t="n"/>
      <c r="P79" s="18" t="n"/>
    </row>
    <row r="80" ht="14.25" customHeight="1" s="19">
      <c r="A80" s="18" t="inlineStr">
        <is>
          <t>OK</t>
        </is>
      </c>
      <c r="B80" s="18" t="inlineStr">
        <is>
          <t>Igor</t>
        </is>
      </c>
      <c r="C80" s="16" t="n">
        <v>74</v>
      </c>
      <c r="D80" s="16" t="inlineStr">
        <is>
          <t>2022</t>
        </is>
      </c>
      <c r="E80" s="16" t="inlineStr">
        <is>
          <t>Data-driven framework towards realistic bottom-up energy benchmarking using an Artificial Neural Network</t>
        </is>
      </c>
      <c r="F80" s="16" t="inlineStr">
        <is>
          <t>GERALDI, M. S.; GHISI, E.</t>
        </is>
      </c>
      <c r="G80" s="16" t="inlineStr">
        <is>
          <t>APPLIED ENERGY, v. 306, p. 117960, 2022. Citações:32|31</t>
        </is>
      </c>
      <c r="H80" s="14" t="inlineStr">
        <is>
          <t>http://dx.doi.org/10.1016/j.apenergy.2021.117960</t>
        </is>
      </c>
      <c r="I80" s="16" t="inlineStr">
        <is>
          <t>Benchmarking, Eletricidade, Analise-Incerteza, Analise-Agrupamento, Eficiencia-Energetica</t>
        </is>
      </c>
      <c r="J80" s="16" t="inlineStr">
        <is>
          <t>Benchmarking</t>
        </is>
      </c>
      <c r="K80" s="16" t="inlineStr">
        <is>
          <t>Eletricidade</t>
        </is>
      </c>
      <c r="L80" s="16" t="inlineStr">
        <is>
          <t>Analise-Incerteza</t>
        </is>
      </c>
      <c r="M80" s="16" t="inlineStr">
        <is>
          <t>Analise-Agrupamento</t>
        </is>
      </c>
      <c r="N80" s="18" t="inlineStr">
        <is>
          <t>Eficiencia-Energetica</t>
        </is>
      </c>
      <c r="O80" s="16" t="n"/>
      <c r="P80" s="18" t="n"/>
    </row>
    <row r="81" ht="14.25" customHeight="1" s="19">
      <c r="A81" s="18" t="inlineStr">
        <is>
          <t>OK</t>
        </is>
      </c>
      <c r="B81" s="18" t="inlineStr">
        <is>
          <t>Igor</t>
        </is>
      </c>
      <c r="C81" s="16" t="n">
        <v>75</v>
      </c>
      <c r="D81" s="16" t="inlineStr">
        <is>
          <t>2022</t>
        </is>
      </c>
      <c r="E81" s="16" t="inlineStr">
        <is>
          <t>Stormwater harvested from a permeable pavement for use in the fire extinguishing system and non-potable uses of a building: a case study</t>
        </is>
      </c>
      <c r="F81" s="16" t="inlineStr">
        <is>
          <t>ANTUNES, L. N.; GHISI, E.; SOUZA, J. C.</t>
        </is>
      </c>
      <c r="G81" s="16" t="inlineStr">
        <is>
          <t>Urban Water Journal, v. 19, p. 433-440, 2022. Citações:4|4</t>
        </is>
      </c>
      <c r="H81" s="14" t="inlineStr">
        <is>
          <t>http://dx.doi.org/10.1080/1573062X.2021.2016869</t>
        </is>
      </c>
      <c r="I81" s="16" t="inlineStr">
        <is>
          <t>Pavimento-Permeavel, Agua-Pluvial, Industrial-Servicos, Estudo-Campo</t>
        </is>
      </c>
      <c r="J81" s="16" t="inlineStr">
        <is>
          <t>Pavimento-Permeavel</t>
        </is>
      </c>
      <c r="K81" s="16" t="inlineStr">
        <is>
          <t>Agua-Pluvial</t>
        </is>
      </c>
      <c r="L81" s="16" t="inlineStr">
        <is>
          <t>Industrial-Servicos</t>
        </is>
      </c>
      <c r="M81" s="16" t="inlineStr">
        <is>
          <t>Estudo-Campo</t>
        </is>
      </c>
      <c r="N81" s="16" t="n"/>
      <c r="O81" s="16" t="n"/>
      <c r="P81" s="18" t="n"/>
    </row>
    <row r="82" ht="14.25" customHeight="1" s="19">
      <c r="A82" s="18" t="inlineStr">
        <is>
          <t>OK</t>
        </is>
      </c>
      <c r="B82" s="18" t="inlineStr">
        <is>
          <t>Igor</t>
        </is>
      </c>
      <c r="C82" s="16" t="n">
        <v>76</v>
      </c>
      <c r="D82" s="16" t="inlineStr">
        <is>
          <t>2022</t>
        </is>
      </c>
      <c r="E82" s="16" t="inlineStr">
        <is>
          <t>Assessment of disposal and recycling of waste tyres in Brazil</t>
        </is>
      </c>
      <c r="F82" s="16" t="inlineStr">
        <is>
          <t>THIVES, L.P.; GHISI, E.; THIVES JUNIOR, J. J.</t>
        </is>
      </c>
      <c r="G82" s="16" t="inlineStr">
        <is>
          <t>CIÊNCIA E NATURA, v. 44, p. e11, 2022</t>
        </is>
      </c>
      <c r="H82" s="14" t="inlineStr">
        <is>
          <t>http://dx.doi.org/10.5902/2179460X68822</t>
        </is>
      </c>
      <c r="I82" s="16" t="inlineStr">
        <is>
          <t>ACV, Escala-Urbana, Pneu, Resíduo</t>
        </is>
      </c>
      <c r="J82" s="16" t="inlineStr">
        <is>
          <t>ACV</t>
        </is>
      </c>
      <c r="K82" s="16" t="inlineStr">
        <is>
          <t>Escala-Urbana</t>
        </is>
      </c>
      <c r="L82" s="16" t="inlineStr">
        <is>
          <t>Pneu</t>
        </is>
      </c>
      <c r="M82" s="16" t="inlineStr">
        <is>
          <t>Resíduo</t>
        </is>
      </c>
      <c r="N82" s="16" t="n"/>
      <c r="O82" s="16" t="n"/>
      <c r="P82" s="18" t="n"/>
    </row>
    <row r="83" ht="14.25" customHeight="1" s="19">
      <c r="A83" s="18" t="inlineStr">
        <is>
          <t>OK</t>
        </is>
      </c>
      <c r="B83" s="18" t="inlineStr">
        <is>
          <t>Igor</t>
        </is>
      </c>
      <c r="C83" s="16" t="n">
        <v>77</v>
      </c>
      <c r="D83" s="16" t="inlineStr">
        <is>
          <t>2022</t>
        </is>
      </c>
      <c r="E83" s="16" t="inlineStr">
        <is>
          <t>Integrating evidence-based thermal satisfaction in energy benchmarking: A data-driven approach for a whole-building evaluation</t>
        </is>
      </c>
      <c r="F83" s="16" t="inlineStr">
        <is>
          <t>GERALDI, MATHEUS SOARES; Ghisi, Enedir</t>
        </is>
      </c>
      <c r="G83" s="16" t="inlineStr">
        <is>
          <t>ENERGY, v. 244, p. 123161, 2022. Citações:15|18</t>
        </is>
      </c>
      <c r="H83" s="14" t="inlineStr">
        <is>
          <t>http://dx.doi.org/10.1016/j.energy.2022.123161</t>
        </is>
      </c>
      <c r="I83" s="16" t="inlineStr">
        <is>
          <t>Conforto-Termico, Benchmarking, Eletricidade, Eficiencia-Energetica</t>
        </is>
      </c>
      <c r="J83" s="16" t="inlineStr">
        <is>
          <t>Conforto-Termico</t>
        </is>
      </c>
      <c r="K83" s="16" t="inlineStr">
        <is>
          <t>Benchmarking</t>
        </is>
      </c>
      <c r="L83" s="16" t="inlineStr">
        <is>
          <t>Eletricidade</t>
        </is>
      </c>
      <c r="M83" s="18" t="inlineStr">
        <is>
          <t>Eficiencia-Energetica</t>
        </is>
      </c>
      <c r="N83" s="16" t="n"/>
      <c r="O83" s="16" t="n"/>
      <c r="P83" s="18" t="n"/>
    </row>
    <row r="84" ht="14.25" customHeight="1" s="19">
      <c r="A84" s="18" t="inlineStr">
        <is>
          <t>OK</t>
        </is>
      </c>
      <c r="B84" s="18" t="inlineStr">
        <is>
          <t>Igor</t>
        </is>
      </c>
      <c r="C84" s="16" t="n">
        <v>78</v>
      </c>
      <c r="D84" s="16" t="inlineStr">
        <is>
          <t>2022</t>
        </is>
      </c>
      <c r="E84" s="16" t="inlineStr">
        <is>
          <t>Water benchmarking in buildings: a systematic review on methods and benchmarks for water conservation</t>
        </is>
      </c>
      <c r="F84" s="16" t="inlineStr">
        <is>
          <t>FLORES, R. A.; GHISI, E.</t>
        </is>
      </c>
      <c r="G84" s="16" t="inlineStr">
        <is>
          <t>Water, v. 14, p. 473, 2022. Citações:12|9</t>
        </is>
      </c>
      <c r="H84" s="14" t="inlineStr">
        <is>
          <t>http://dx.doi.org/10.3390/w14030473</t>
        </is>
      </c>
      <c r="I84" s="16" t="inlineStr">
        <is>
          <t>Benchmarking, Agua-Potavel, Revisao-Literatura</t>
        </is>
      </c>
      <c r="J84" s="16" t="inlineStr">
        <is>
          <t>Benchmarking</t>
        </is>
      </c>
      <c r="K84" s="16" t="inlineStr">
        <is>
          <t>Agua-Potavel</t>
        </is>
      </c>
      <c r="L84" s="16" t="inlineStr">
        <is>
          <t>Revisao-Literatura</t>
        </is>
      </c>
      <c r="M84" s="16" t="n"/>
      <c r="N84" s="16" t="n"/>
      <c r="O84" s="16" t="n"/>
      <c r="P84" s="18" t="n"/>
    </row>
    <row r="85" ht="14.25" customHeight="1" s="19">
      <c r="A85" s="18" t="inlineStr">
        <is>
          <t>OK</t>
        </is>
      </c>
      <c r="B85" s="18" t="inlineStr">
        <is>
          <t>Igor</t>
        </is>
      </c>
      <c r="C85" s="16" t="n">
        <v>79</v>
      </c>
      <c r="D85" s="16" t="inlineStr">
        <is>
          <t>2022</t>
        </is>
      </c>
      <c r="E85" s="16" t="inlineStr">
        <is>
          <t>Regional inequalities in electricity access versus quality of life in Brazil</t>
        </is>
      </c>
      <c r="F85" s="16" t="inlineStr">
        <is>
          <t>THIVES, LISEANE PADILHA; GHISI, E.; THIVES JUNIOR, J. J.</t>
        </is>
      </c>
      <c r="G85" s="16" t="inlineStr">
        <is>
          <t>AMBIENTE CONSTRUÍDO (ONLINE), v. 22, p. 47-65, 2022</t>
        </is>
      </c>
      <c r="H85" s="14" t="inlineStr">
        <is>
          <t>http://dx.doi.org/10.1590/s1678-86212022000300609</t>
        </is>
      </c>
      <c r="I85" s="16" t="inlineStr">
        <is>
          <t>Eletricidade, Demografia-Usuario, Escala-Urbana</t>
        </is>
      </c>
      <c r="J85" s="16" t="inlineStr">
        <is>
          <t>Eletricidade</t>
        </is>
      </c>
      <c r="K85" s="16" t="inlineStr">
        <is>
          <t>Demografia-Usuario</t>
        </is>
      </c>
      <c r="L85" s="16" t="inlineStr">
        <is>
          <t>Escala-Urbana</t>
        </is>
      </c>
      <c r="M85" s="16" t="n"/>
      <c r="N85" s="16" t="n"/>
      <c r="O85" s="16" t="n"/>
      <c r="P85" s="18" t="n"/>
    </row>
    <row r="86" ht="14.25" customHeight="1" s="19">
      <c r="A86" s="18" t="inlineStr">
        <is>
          <t>OK</t>
        </is>
      </c>
      <c r="B86" s="18" t="inlineStr">
        <is>
          <t>Igor</t>
        </is>
      </c>
      <c r="C86" s="16" t="n">
        <v>80</v>
      </c>
      <c r="D86" s="16" t="inlineStr">
        <is>
          <t>2022</t>
        </is>
      </c>
      <c r="E86" s="16" t="inlineStr">
        <is>
          <t>Análise estatística da intensidade do uso de energia de edificações escolares no Brasil: proposição de benchmarking simplificado</t>
        </is>
      </c>
      <c r="F86" s="16" t="inlineStr">
        <is>
          <t>GERALDI, MATHEUS; BAVARESCO, M. V.; GNECCO, V. M.; AZEVEDO, L. D.; GHISI, E.; FOSSATI, Michele</t>
        </is>
      </c>
      <c r="G86" s="16" t="inlineStr">
        <is>
          <t>Revista Sítio Novo, v. 6, p. 21-34, 2022</t>
        </is>
      </c>
      <c r="H86" s="14" t="inlineStr">
        <is>
          <t>http://dx.doi.org/10.47236/2594-7036.2022.v7.i0.21-34p</t>
        </is>
      </c>
      <c r="I86" s="16" t="inlineStr">
        <is>
          <t>Benchmarking, Eletricidade, Escola-Universidade, Eficiencia-Energetica</t>
        </is>
      </c>
      <c r="J86" s="16" t="inlineStr">
        <is>
          <t>Benchmarking</t>
        </is>
      </c>
      <c r="K86" s="16" t="inlineStr">
        <is>
          <t>Eletricidade</t>
        </is>
      </c>
      <c r="L86" s="16" t="inlineStr">
        <is>
          <t>Escola-Universidade</t>
        </is>
      </c>
      <c r="M86" s="18" t="inlineStr">
        <is>
          <t>Eficiencia-Energetica</t>
        </is>
      </c>
      <c r="N86" s="16" t="n"/>
      <c r="O86" s="16" t="n"/>
      <c r="P86" s="18" t="n"/>
    </row>
    <row r="87" ht="14.25" customHeight="1" s="19">
      <c r="A87" s="18" t="inlineStr">
        <is>
          <t>OK</t>
        </is>
      </c>
      <c r="B87" s="18" t="inlineStr">
        <is>
          <t>Igor</t>
        </is>
      </c>
      <c r="C87" s="16" t="n">
        <v>81</v>
      </c>
      <c r="D87" s="16" t="inlineStr">
        <is>
          <t>2022</t>
        </is>
      </c>
      <c r="E87" s="16" t="inlineStr">
        <is>
          <t>Life cycle assessment of green roofs: A literature review of layers materials and purposes</t>
        </is>
      </c>
      <c r="F87" s="16" t="inlineStr">
        <is>
          <t>SCOLARO, T. P.; GHISI, E.</t>
        </is>
      </c>
      <c r="G87" s="16" t="inlineStr">
        <is>
          <t>SCIENCE OF THE TOTAL ENVIRONMENT, v. 829, p. 154650, 2022. Citações:49|50</t>
        </is>
      </c>
      <c r="H87" s="14" t="inlineStr">
        <is>
          <t>http://dx.doi.org/10.1016/j.scitotenv.2022.154650</t>
        </is>
      </c>
      <c r="I87" s="16" t="inlineStr">
        <is>
          <t>ACV, Telhado-Verde, Revisao-Literatura</t>
        </is>
      </c>
      <c r="J87" s="16" t="inlineStr">
        <is>
          <t>ACV</t>
        </is>
      </c>
      <c r="K87" s="16" t="inlineStr">
        <is>
          <t>Telhado-Verde</t>
        </is>
      </c>
      <c r="L87" s="16" t="inlineStr">
        <is>
          <t>Revisao-Literatura</t>
        </is>
      </c>
      <c r="M87" s="16" t="n"/>
      <c r="N87" s="16" t="n"/>
      <c r="O87" s="16" t="n"/>
      <c r="P87" s="18" t="n"/>
    </row>
    <row r="88" ht="14.25" customHeight="1" s="19">
      <c r="A88" s="18" t="inlineStr">
        <is>
          <t>OK</t>
        </is>
      </c>
      <c r="B88" s="18" t="inlineStr">
        <is>
          <t>Igor</t>
        </is>
      </c>
      <c r="C88" s="16" t="n">
        <v>82</v>
      </c>
      <c r="D88" s="16" t="inlineStr">
        <is>
          <t>2022</t>
        </is>
      </c>
      <c r="E88" s="16" t="inlineStr">
        <is>
          <t>Benchmarking water efficiency in public school buildings</t>
        </is>
      </c>
      <c r="F88" s="16" t="inlineStr">
        <is>
          <t>FLORES, R. A.; GHISI, E.</t>
        </is>
      </c>
      <c r="G88" s="16" t="inlineStr">
        <is>
          <t>Sustainability, v. 14, p. 3794, 2022. Citações:5|6</t>
        </is>
      </c>
      <c r="H88" s="14" t="inlineStr">
        <is>
          <t>http://dx.doi.org/10.3390/su14073794</t>
        </is>
      </c>
      <c r="I88" s="16" t="inlineStr">
        <is>
          <t>Benchmarking, Agua-Potavel, Escola-Universidade</t>
        </is>
      </c>
      <c r="J88" s="16" t="inlineStr">
        <is>
          <t>Benchmarking</t>
        </is>
      </c>
      <c r="K88" s="16" t="inlineStr">
        <is>
          <t>Agua-Potavel</t>
        </is>
      </c>
      <c r="L88" s="16" t="inlineStr">
        <is>
          <t>Escola-Universidade</t>
        </is>
      </c>
      <c r="M88" s="16" t="n"/>
      <c r="N88" s="16" t="n"/>
      <c r="O88" s="16" t="n"/>
      <c r="P88" s="18" t="n"/>
    </row>
    <row r="89" ht="14.25" customHeight="1" s="19">
      <c r="A89" s="18" t="inlineStr">
        <is>
          <t>OK</t>
        </is>
      </c>
      <c r="B89" s="18" t="inlineStr">
        <is>
          <t>Igor</t>
        </is>
      </c>
      <c r="C89" s="16" t="n">
        <v>83</v>
      </c>
      <c r="D89" s="16" t="inlineStr">
        <is>
          <t>2022</t>
        </is>
      </c>
      <c r="E89" s="16" t="inlineStr">
        <is>
          <t>Are years-long field studies about window operation efficient? a data-driven approach based on information theory and deep learning</t>
        </is>
      </c>
      <c r="F89" s="16" t="inlineStr">
        <is>
          <t>BAVARESCO, M. V.; KOUSIS, I.; PIGLIAUTILE, I.; PISELLO, A. L.; PISELLI, C.; GHISI, E.</t>
        </is>
      </c>
      <c r="G89" s="16" t="inlineStr">
        <is>
          <t>ENERGY AND BUILDINGS, v. 268, p. 112197, 2022. Citações:4|5</t>
        </is>
      </c>
      <c r="H89" s="14" t="inlineStr">
        <is>
          <t>http://dx.doi.org/10.1016/j.enbuild.2022.112197</t>
        </is>
      </c>
      <c r="I89" s="16" t="inlineStr">
        <is>
          <t>Comportamento-Usuario, Benchmarking, Vidros-E-Janelas, Ventilacao, Estudo-Campo</t>
        </is>
      </c>
      <c r="J89" s="16" t="inlineStr">
        <is>
          <t>Comportamento-Usuario</t>
        </is>
      </c>
      <c r="K89" s="16" t="inlineStr">
        <is>
          <t>Benchmarking</t>
        </is>
      </c>
      <c r="L89" s="16" t="inlineStr">
        <is>
          <t>Vidros-E-Janelas</t>
        </is>
      </c>
      <c r="M89" s="16" t="inlineStr">
        <is>
          <t>Ventilacao</t>
        </is>
      </c>
      <c r="N89" s="16" t="inlineStr">
        <is>
          <t>Estudo-Campo</t>
        </is>
      </c>
      <c r="O89" s="16" t="n"/>
      <c r="P89" s="18" t="n"/>
    </row>
    <row r="90" ht="14.25" customHeight="1" s="19">
      <c r="A90" s="18" t="inlineStr">
        <is>
          <t>OK</t>
        </is>
      </c>
      <c r="B90" s="18" t="inlineStr">
        <is>
          <t>Igor</t>
        </is>
      </c>
      <c r="C90" s="16" t="n">
        <v>84</v>
      </c>
      <c r="D90" s="16" t="inlineStr">
        <is>
          <t>2022</t>
        </is>
      </c>
      <c r="E90" s="16" t="inlineStr">
        <is>
          <t>Is asbestos still a problem in the world?</t>
        </is>
      </c>
      <c r="F90" s="16" t="inlineStr">
        <is>
          <t>THIVES, L.P.; GHISI, E.; THIVES JUNIOR, J. J.; VIEIRA, Abel Silva</t>
        </is>
      </c>
      <c r="G90" s="16" t="inlineStr">
        <is>
          <t>A current review. JOURNAL OF ENVIRONMENTAL MANAGEMENT, v. 319, p. 115716, 2022. Citações:82|81</t>
        </is>
      </c>
      <c r="H90" s="14" t="inlineStr">
        <is>
          <t>http://dx.doi.org/10.1016/j.jenvman.2022.115716</t>
        </is>
      </c>
      <c r="I90" s="16" t="inlineStr">
        <is>
          <t>Envoltoria, Revisao-Literatura, Qualidade-Ar</t>
        </is>
      </c>
      <c r="J90" s="16" t="inlineStr">
        <is>
          <t>Envoltoria</t>
        </is>
      </c>
      <c r="K90" s="16" t="inlineStr">
        <is>
          <t>Revisao-Literatura</t>
        </is>
      </c>
      <c r="L90" s="16" t="inlineStr">
        <is>
          <t>Qualidade-Ar</t>
        </is>
      </c>
      <c r="M90" s="16" t="n"/>
      <c r="N90" s="16" t="n"/>
      <c r="O90" s="16" t="n"/>
      <c r="P90" s="18" t="n"/>
    </row>
    <row r="91" ht="14.25" customHeight="1" s="19">
      <c r="A91" s="18" t="inlineStr">
        <is>
          <t>OK</t>
        </is>
      </c>
      <c r="B91" s="18" t="inlineStr">
        <is>
          <t>Igor</t>
        </is>
      </c>
      <c r="C91" s="16" t="n">
        <v>85</v>
      </c>
      <c r="D91" s="16" t="inlineStr">
        <is>
          <t>2022</t>
        </is>
      </c>
      <c r="E91" s="16" t="inlineStr">
        <is>
          <t>Influence of gender on thermal, air-movement, humidity and air-quality perception in mixed-mode and fully air-conditioned offices</t>
        </is>
      </c>
      <c r="F91" s="16" t="inlineStr">
        <is>
          <t>MAYKOT, J. K.; OLIVEIRA, C. C.; GHISI, E.; RUPP, R.F.</t>
        </is>
      </c>
      <c r="G91" s="16" t="inlineStr">
        <is>
          <t>Sustainability, v. 14, p. 9722, 2022. Citações:2|3</t>
        </is>
      </c>
      <c r="H91" s="14" t="inlineStr">
        <is>
          <t>http://dx.doi.org/10.3390/su14159722</t>
        </is>
      </c>
      <c r="I91" s="16" t="inlineStr">
        <is>
          <t>Demografia-Usuario, Conforto-Termico, Qualidade-Ar, Comportamento-Usuario, Ventilacao</t>
        </is>
      </c>
      <c r="J91" s="16" t="inlineStr">
        <is>
          <t>Demografia-Usuario</t>
        </is>
      </c>
      <c r="K91" s="16" t="inlineStr">
        <is>
          <t>Conforto-Termico</t>
        </is>
      </c>
      <c r="L91" s="16" t="inlineStr">
        <is>
          <t>Qualidade-Ar</t>
        </is>
      </c>
      <c r="M91" s="16" t="inlineStr">
        <is>
          <t>Comportamento-Usuario</t>
        </is>
      </c>
      <c r="N91" s="16" t="inlineStr">
        <is>
          <t>Ventilacao</t>
        </is>
      </c>
      <c r="O91" s="16" t="n"/>
      <c r="P91" s="18" t="n"/>
    </row>
    <row r="92" ht="14.25" customHeight="1" s="19">
      <c r="A92" s="18" t="inlineStr">
        <is>
          <t>OK</t>
        </is>
      </c>
      <c r="B92" s="18" t="inlineStr">
        <is>
          <t>Igor</t>
        </is>
      </c>
      <c r="C92" s="16" t="n">
        <v>86</v>
      </c>
      <c r="D92" s="16" t="inlineStr">
        <is>
          <t>2022</t>
        </is>
      </c>
      <c r="E92" s="16" t="inlineStr">
        <is>
          <t>Comprehensive environmental assessment of rainwater harvesting systems: A literature review</t>
        </is>
      </c>
      <c r="F92" s="16" t="inlineStr">
        <is>
          <t>TESTON, A.; SCOLARO, T. P.; MAYKOT, J. K.; GHISI, E.</t>
        </is>
      </c>
      <c r="G92" s="16" t="inlineStr">
        <is>
          <t>Water, v. 14, p. 2716, 2022. Citações:42|40</t>
        </is>
      </c>
      <c r="H92" s="14" t="inlineStr">
        <is>
          <t>http://dx.doi.org/10.3390/w14172716</t>
        </is>
      </c>
      <c r="I92" s="16" t="inlineStr">
        <is>
          <t>ACV, Agua-Pluvial, Revisao-Literatura, Aproveitamento-agua-chuva</t>
        </is>
      </c>
      <c r="J92" s="16" t="inlineStr">
        <is>
          <t>ACV</t>
        </is>
      </c>
      <c r="K92" s="16" t="inlineStr">
        <is>
          <t>Agua-Pluvial</t>
        </is>
      </c>
      <c r="L92" s="16" t="inlineStr">
        <is>
          <t>Revisao-Literatura</t>
        </is>
      </c>
      <c r="M92" s="16" t="inlineStr">
        <is>
          <t>Aproveitamento-agua-chuva</t>
        </is>
      </c>
      <c r="N92" s="16" t="n"/>
      <c r="O92" s="16" t="n"/>
      <c r="P92" s="18" t="n"/>
    </row>
    <row r="93" ht="14.25" customHeight="1" s="19">
      <c r="A93" s="18" t="inlineStr">
        <is>
          <t>OK</t>
        </is>
      </c>
      <c r="B93" s="18" t="inlineStr">
        <is>
          <t>Igor</t>
        </is>
      </c>
      <c r="C93" s="16" t="n">
        <v>87</v>
      </c>
      <c r="D93" s="16" t="inlineStr">
        <is>
          <t>2022</t>
        </is>
      </c>
      <c r="E93" s="16" t="inlineStr">
        <is>
          <t>Influence of rainfall time series indicators on the performance of residential rainwater harvesting systems</t>
        </is>
      </c>
      <c r="F93" s="16" t="inlineStr">
        <is>
          <t>ISTCHUK, R. N.; GHISI, E.</t>
        </is>
      </c>
      <c r="G93" s="16" t="inlineStr">
        <is>
          <t>JOURNAL OF ENVIRONMENTAL MANAGEMENT, v. 323, p. 116163--, 2022. Citações:11|11</t>
        </is>
      </c>
      <c r="H93" s="14" t="inlineStr">
        <is>
          <t>http://dx.doi.org/10.1016/j.jenvman.2022.116163</t>
        </is>
      </c>
      <c r="I93" s="16" t="inlineStr">
        <is>
          <t>Agua-Pluvial, Mudancas-Climaticas, Aproveitamento-agua-chuva, Analise-Sensibilidade</t>
        </is>
      </c>
      <c r="J93" s="16" t="inlineStr">
        <is>
          <t>Agua-Pluvial</t>
        </is>
      </c>
      <c r="K93" s="16" t="inlineStr">
        <is>
          <t>Mudancas-Climaticas</t>
        </is>
      </c>
      <c r="L93" s="16" t="inlineStr">
        <is>
          <t>Aproveitamento-agua-chuva</t>
        </is>
      </c>
      <c r="M93" s="16" t="inlineStr">
        <is>
          <t>Analise-Sensibilidade</t>
        </is>
      </c>
      <c r="N93" s="16" t="n"/>
      <c r="O93" s="16" t="n"/>
      <c r="P93" s="18" t="n"/>
    </row>
    <row r="94" ht="14.25" customHeight="1" s="19">
      <c r="A94" s="18" t="inlineStr">
        <is>
          <t>OK</t>
        </is>
      </c>
      <c r="B94" s="18" t="inlineStr">
        <is>
          <t>Igor</t>
        </is>
      </c>
      <c r="C94" s="16" t="n">
        <v>88</v>
      </c>
      <c r="D94" s="16" t="inlineStr">
        <is>
          <t>2022</t>
        </is>
      </c>
      <c r="E94" s="16" t="inlineStr">
        <is>
          <t>An outlook on the management of construction and demolition waste in Brazil</t>
        </is>
      </c>
      <c r="F94" s="16" t="inlineStr">
        <is>
          <t>THIVES, LISEANE P.; Ghisi, Enedir; THIVES JÚNIOR, JUAREZ J.</t>
        </is>
      </c>
      <c r="G94" s="16" t="inlineStr">
        <is>
          <t>Cleaner Materials, v. 6, p. 100153, 2022. Citações:15|12</t>
        </is>
      </c>
      <c r="H94" s="14" t="inlineStr">
        <is>
          <t>http://dx.doi.org/10.1016/j.clema.2022.100153</t>
        </is>
      </c>
      <c r="I94" s="16" t="inlineStr">
        <is>
          <t>ACV, Escala-Urbana, Resíduo</t>
        </is>
      </c>
      <c r="J94" s="16" t="inlineStr">
        <is>
          <t>ACV</t>
        </is>
      </c>
      <c r="K94" s="16" t="inlineStr">
        <is>
          <t>Escala-Urbana</t>
        </is>
      </c>
      <c r="L94" s="16" t="inlineStr">
        <is>
          <t>Resíduo</t>
        </is>
      </c>
      <c r="M94" s="16" t="n"/>
      <c r="N94" s="16" t="n"/>
      <c r="O94" s="16" t="n"/>
      <c r="P94" s="18" t="n"/>
    </row>
    <row r="95" ht="14.25" customHeight="1" s="19">
      <c r="A95" s="18" t="inlineStr">
        <is>
          <t>OK</t>
        </is>
      </c>
      <c r="B95" s="18" t="inlineStr">
        <is>
          <t>Igor</t>
        </is>
      </c>
      <c r="C95" s="16" t="n">
        <v>89</v>
      </c>
      <c r="D95" s="16" t="inlineStr">
        <is>
          <t>2022</t>
        </is>
      </c>
      <c r="E95" s="16" t="inlineStr">
        <is>
          <t>Financial feasibility analysis of residential rainwater harvesting in Maringá, Brazil</t>
        </is>
      </c>
      <c r="F95" s="16" t="inlineStr">
        <is>
          <t>ISTCHUK, R. N.; GHISI, E.</t>
        </is>
      </c>
      <c r="G95" s="16" t="inlineStr">
        <is>
          <t>Sustainability, v. 14, p. 12859, 2022. Citações:4|4</t>
        </is>
      </c>
      <c r="H95" s="14" t="inlineStr">
        <is>
          <t>http://dx.doi.org/10.3390/su141912859</t>
        </is>
      </c>
      <c r="I95" s="16" t="inlineStr">
        <is>
          <t>CCV, Agua-Pluvial, Aproveitamento-agua-chuva, Residencial-Unifamiliar</t>
        </is>
      </c>
      <c r="J95" s="16" t="inlineStr">
        <is>
          <t>CCV</t>
        </is>
      </c>
      <c r="K95" s="16" t="inlineStr">
        <is>
          <t>Agua-Pluvial</t>
        </is>
      </c>
      <c r="L95" s="16" t="inlineStr">
        <is>
          <t>Aproveitamento-agua-chuva</t>
        </is>
      </c>
      <c r="M95" s="16" t="inlineStr">
        <is>
          <t>Residencial-Unifamiliar</t>
        </is>
      </c>
      <c r="N95" s="16" t="n"/>
      <c r="O95" s="16" t="n"/>
      <c r="P95" s="18" t="n"/>
    </row>
    <row r="96" ht="14.25" customHeight="1" s="19">
      <c r="A96" s="18" t="inlineStr">
        <is>
          <t>OK</t>
        </is>
      </c>
      <c r="B96" s="18" t="inlineStr">
        <is>
          <t>Igor</t>
        </is>
      </c>
      <c r="C96" s="16" t="n">
        <v>90</v>
      </c>
      <c r="D96" s="16" t="inlineStr">
        <is>
          <t>2021</t>
        </is>
      </c>
      <c r="E96" s="16" t="inlineStr">
        <is>
          <t>Aspectos impactantes no desempenho energético de habitações de interesse social brasileiras: revisão de literatura</t>
        </is>
      </c>
      <c r="F96" s="16" t="inlineStr">
        <is>
          <t>BAVARESCO, M. V.; CUCHIVAGUE, H. Y. O.; SCHINAZI, A.; GHISI, E.</t>
        </is>
      </c>
      <c r="G96" s="16" t="inlineStr">
        <is>
          <t>AMBIENTE CONSTRUÍDO (ONLINE), v. 21, p. 263-292, 2021</t>
        </is>
      </c>
      <c r="H96" s="14" t="inlineStr">
        <is>
          <t>http://dx.doi.org/10.1590/s1678-86212021000100505</t>
        </is>
      </c>
      <c r="I96" s="16" t="inlineStr">
        <is>
          <t>Eletricidade, Habitacao-Interesse-Social, Revisao-Literatura, Eficiencia-Energetica</t>
        </is>
      </c>
      <c r="J96" s="16" t="inlineStr">
        <is>
          <t>Eletricidade</t>
        </is>
      </c>
      <c r="K96" s="16" t="inlineStr">
        <is>
          <t>Habitacao-Interesse-Social</t>
        </is>
      </c>
      <c r="L96" s="16" t="inlineStr">
        <is>
          <t>Revisao-Literatura</t>
        </is>
      </c>
      <c r="M96" s="18" t="inlineStr">
        <is>
          <t>Eficiencia-Energetica</t>
        </is>
      </c>
      <c r="N96" s="16" t="n"/>
      <c r="O96" s="16" t="n"/>
      <c r="P96" s="18" t="n"/>
    </row>
    <row r="97" ht="14.25" customHeight="1" s="19">
      <c r="A97" s="18" t="inlineStr">
        <is>
          <t>OK</t>
        </is>
      </c>
      <c r="B97" s="18" t="inlineStr">
        <is>
          <t>Igor</t>
        </is>
      </c>
      <c r="C97" s="16" t="n">
        <v>91</v>
      </c>
      <c r="D97" s="16" t="inlineStr">
        <is>
          <t>2021</t>
        </is>
      </c>
      <c r="E97" s="16" t="inlineStr">
        <is>
          <t>Monitoramento e modelagem da operação de elementos internos de sombreamento em escritórios: uma revisão de literatura</t>
        </is>
      </c>
      <c r="F97" s="16" t="inlineStr">
        <is>
          <t>BAVARESCO, M. V.; GHISI, E.</t>
        </is>
      </c>
      <c r="G97" s="16" t="inlineStr">
        <is>
          <t>AMBIENTE CONSTRUÍDO (ONLINE), v. 21, p. 315-334, 2021</t>
        </is>
      </c>
      <c r="H97" s="14" t="inlineStr">
        <is>
          <t>http://dx.doi.org/10.1590/s1678-86212021000100507</t>
        </is>
      </c>
      <c r="I97" s="16" t="inlineStr">
        <is>
          <t>Sombreamento, Comportamento-Usuario, Revisao-Literatura, Comercial-Escritorio, Vidros-E-Janelas, Eficiencia-Energetica</t>
        </is>
      </c>
      <c r="J97" s="16" t="inlineStr">
        <is>
          <t>Sombreamento</t>
        </is>
      </c>
      <c r="K97" s="16" t="inlineStr">
        <is>
          <t>Comportamento-Usuario</t>
        </is>
      </c>
      <c r="L97" s="16" t="inlineStr">
        <is>
          <t>Revisao-Literatura</t>
        </is>
      </c>
      <c r="M97" s="16" t="inlineStr">
        <is>
          <t>Comercial-Escritorio</t>
        </is>
      </c>
      <c r="N97" s="16" t="inlineStr">
        <is>
          <t>Vidros-E-Janelas</t>
        </is>
      </c>
      <c r="O97" s="18" t="inlineStr">
        <is>
          <t>Eficiencia-Energetica</t>
        </is>
      </c>
      <c r="P97" s="18" t="n"/>
    </row>
    <row r="98" ht="14.25" customHeight="1" s="19">
      <c r="A98" s="18" t="inlineStr">
        <is>
          <t>OK</t>
        </is>
      </c>
      <c r="B98" s="18" t="inlineStr">
        <is>
          <t>Igor</t>
        </is>
      </c>
      <c r="C98" s="16" t="n">
        <v>92</v>
      </c>
      <c r="D98" s="16" t="inlineStr">
        <is>
          <t>2021</t>
        </is>
      </c>
      <c r="E98" s="16" t="inlineStr">
        <is>
          <t>Assessment of public lighting systems considering mesopic vision</t>
        </is>
      </c>
      <c r="F98" s="16" t="inlineStr">
        <is>
          <t>GRANDO, F. O.; GHISI, E.</t>
        </is>
      </c>
      <c r="G98" s="16" t="inlineStr">
        <is>
          <t>JOURNAL OF CLEANER PRODUCTION, v. 279, p. 123369--, 2021. Citações:6|7</t>
        </is>
      </c>
      <c r="H98" s="14" t="inlineStr">
        <is>
          <t>http://dx.doi.org/10.1016/j.jclepro.2020.123369</t>
        </is>
      </c>
      <c r="I98" s="16" t="inlineStr">
        <is>
          <t>Iluminacao, Escala-Urbana, Eficiencia-Energetica</t>
        </is>
      </c>
      <c r="J98" s="16" t="inlineStr">
        <is>
          <t>Iluminacao</t>
        </is>
      </c>
      <c r="K98" s="16" t="inlineStr">
        <is>
          <t>Escala-Urbana</t>
        </is>
      </c>
      <c r="L98" s="18" t="inlineStr">
        <is>
          <t>Eficiencia-Energetica</t>
        </is>
      </c>
      <c r="M98" s="16" t="n"/>
      <c r="N98" s="16" t="n"/>
      <c r="O98" s="16" t="n"/>
      <c r="P98" s="18" t="n"/>
      <c r="W98" s="17" t="n"/>
    </row>
    <row r="99" ht="14.25" customHeight="1" s="19">
      <c r="A99" s="18" t="inlineStr">
        <is>
          <t>OK</t>
        </is>
      </c>
      <c r="B99" s="18" t="inlineStr">
        <is>
          <t>Igor</t>
        </is>
      </c>
      <c r="C99" s="16" t="n">
        <v>93</v>
      </c>
      <c r="D99" s="16" t="inlineStr">
        <is>
          <t>2021</t>
        </is>
      </c>
      <c r="E99" s="16" t="inlineStr">
        <is>
          <t>Evaluation of capabilities of different global sensitivity analysis techniques for building energy simulation: experiment on design variables</t>
        </is>
      </c>
      <c r="F99" s="16" t="inlineStr">
        <is>
          <t>SILVA, A. S.; GHISI, E.</t>
        </is>
      </c>
      <c r="G99" s="16" t="inlineStr">
        <is>
          <t>AMBIENTE CONSTRUÍDO (ONLINE), v. 21, p. 89-111, 2021</t>
        </is>
      </c>
      <c r="H99" s="14" t="inlineStr">
        <is>
          <t>http://dx.doi.org/10.1590/s1678-86212021000200516</t>
        </is>
      </c>
      <c r="I99" s="16" t="inlineStr">
        <is>
          <t>Simulacao-Computacional, Eletricidade, Analise-Incerteza, Analise-Sensibilidade, Eficiencia-Energetica</t>
        </is>
      </c>
      <c r="J99" s="16" t="inlineStr">
        <is>
          <t>Simulacao-Computacional</t>
        </is>
      </c>
      <c r="K99" s="16" t="inlineStr">
        <is>
          <t>Eletricidade</t>
        </is>
      </c>
      <c r="L99" s="16" t="inlineStr">
        <is>
          <t>Analise-Incerteza</t>
        </is>
      </c>
      <c r="M99" s="16" t="inlineStr">
        <is>
          <t>Analise-Sensibilidade</t>
        </is>
      </c>
      <c r="N99" s="18" t="inlineStr">
        <is>
          <t>Eficiencia-Energetica</t>
        </is>
      </c>
      <c r="O99" s="16" t="n"/>
      <c r="P99" s="18" t="n"/>
    </row>
    <row r="100" ht="14.25" customHeight="1" s="19">
      <c r="A100" s="18" t="inlineStr">
        <is>
          <t>OK</t>
        </is>
      </c>
      <c r="B100" s="18" t="inlineStr">
        <is>
          <t>Igor</t>
        </is>
      </c>
      <c r="C100" s="16" t="n">
        <v>94</v>
      </c>
      <c r="D100" s="16" t="inlineStr">
        <is>
          <t>2021</t>
        </is>
      </c>
      <c r="E100" s="16" t="inlineStr">
        <is>
          <t>Occupant behaviour in mixed-mode office buildings in a subtropical climate: Beyond typical models of adaptive actions</t>
        </is>
      </c>
      <c r="F100" s="16" t="inlineStr">
        <is>
          <t>Rupp, Ricardo Forgiarini; ANDERSEN, RUNE KORSHOLM; TOFTUM, JØRN; Ghisi, Enedir</t>
        </is>
      </c>
      <c r="G100" s="16" t="inlineStr">
        <is>
          <t>BUILDING AND ENVIRONMENT, v. 190, p. 107541, 2021. Citações:34|39</t>
        </is>
      </c>
      <c r="H100" s="14" t="inlineStr">
        <is>
          <t>http://dx.doi.org/10.1016/j.buildenv.2020.107541</t>
        </is>
      </c>
      <c r="I100" s="16" t="inlineStr">
        <is>
          <t>Comportamento-Usuario, Comercial-Escritorio, Estudo-Campo, Conforto-Termico, Ventilacao</t>
        </is>
      </c>
      <c r="J100" s="16" t="inlineStr">
        <is>
          <t>Comportamento-Usuario</t>
        </is>
      </c>
      <c r="K100" s="16" t="inlineStr">
        <is>
          <t>Comercial-Escritorio</t>
        </is>
      </c>
      <c r="L100" s="16" t="inlineStr">
        <is>
          <t>Estudo-Campo</t>
        </is>
      </c>
      <c r="M100" s="16" t="inlineStr">
        <is>
          <t>Conforto-Termico</t>
        </is>
      </c>
      <c r="N100" s="16" t="inlineStr">
        <is>
          <t>Ventilacao</t>
        </is>
      </c>
      <c r="O100" s="16" t="n"/>
      <c r="P100" s="18" t="n"/>
    </row>
    <row r="101" ht="14.25" customHeight="1" s="19">
      <c r="A101" s="18" t="inlineStr">
        <is>
          <t>OK</t>
        </is>
      </c>
      <c r="B101" s="18" t="inlineStr">
        <is>
          <t>Igor</t>
        </is>
      </c>
      <c r="C101" s="16" t="n">
        <v>95</v>
      </c>
      <c r="D101" s="16" t="inlineStr">
        <is>
          <t>2021</t>
        </is>
      </c>
      <c r="E101" s="16" t="inlineStr">
        <is>
          <t>Triggering occupant behaviour for energy sustainability: Exploring subjective and comfort-related drivers in Brazilian offices</t>
        </is>
      </c>
      <c r="F101" s="16" t="inlineStr">
        <is>
          <t>BAVARESCO, M. V.; GHISI, E.; D'OCA, SIMONA; PISELLO, A. L.</t>
        </is>
      </c>
      <c r="G101" s="16" t="inlineStr">
        <is>
          <t>Energy Research &amp; Social Science, v. 74, p. 101959, 2021. Citações:46|30</t>
        </is>
      </c>
      <c r="H101" s="14" t="inlineStr">
        <is>
          <t>http://dx.doi.org/10.1016/j.erss.2021.101959</t>
        </is>
      </c>
      <c r="I101" s="16" t="inlineStr">
        <is>
          <t>Comportamento-Usuario, Conforto-Termico, Comercial-Escritorio, Eficiencia-Energetica</t>
        </is>
      </c>
      <c r="J101" s="16" t="inlineStr">
        <is>
          <t>Comportamento-Usuario</t>
        </is>
      </c>
      <c r="K101" s="16" t="inlineStr">
        <is>
          <t>Conforto-Termico</t>
        </is>
      </c>
      <c r="L101" s="16" t="inlineStr">
        <is>
          <t>Comercial-Escritorio</t>
        </is>
      </c>
      <c r="M101" s="18" t="inlineStr">
        <is>
          <t>Eficiencia-Energetica</t>
        </is>
      </c>
      <c r="N101" s="16" t="n"/>
      <c r="O101" s="16" t="n"/>
      <c r="P101" s="18" t="n"/>
    </row>
    <row r="102" ht="14.25" customHeight="1" s="19">
      <c r="A102" s="18" t="inlineStr">
        <is>
          <t>OK</t>
        </is>
      </c>
      <c r="B102" s="18" t="inlineStr">
        <is>
          <t>Igor</t>
        </is>
      </c>
      <c r="C102" s="16" t="n">
        <v>96</v>
      </c>
      <c r="D102" s="16" t="inlineStr">
        <is>
          <t>2021</t>
        </is>
      </c>
      <c r="E102" s="16" t="inlineStr">
        <is>
          <t>Racial inequality related to transportation means in Brazil</t>
        </is>
      </c>
      <c r="F102" s="16" t="inlineStr">
        <is>
          <t>THIVES, L.P.; GHISI, E.; THIVES JUNIOR, J. J.</t>
        </is>
      </c>
      <c r="G102" s="16" t="inlineStr">
        <is>
          <t>INTERNATIONAL JOURNAL OF ENGINEERING RESEARCH AND APPLICATIONS (IJERA), v. 11, p. 24-37, 2021</t>
        </is>
      </c>
      <c r="H102" s="14" t="inlineStr">
        <is>
          <t>http://dx.doi.org/10.9790/9622-1101052437</t>
        </is>
      </c>
      <c r="I102" s="16" t="inlineStr">
        <is>
          <t>Demografia-Usuario, Escala-Urbana, Transporte</t>
        </is>
      </c>
      <c r="J102" s="16" t="inlineStr">
        <is>
          <t>Demografia-Usuario</t>
        </is>
      </c>
      <c r="K102" s="16" t="inlineStr">
        <is>
          <t>Escala-Urbana</t>
        </is>
      </c>
      <c r="L102" s="16" t="inlineStr">
        <is>
          <t>Transporte</t>
        </is>
      </c>
      <c r="M102" s="16" t="n"/>
      <c r="N102" s="16" t="n"/>
      <c r="O102" s="16" t="n"/>
      <c r="P102" s="18" t="n"/>
    </row>
    <row r="103" ht="14.25" customHeight="1" s="19">
      <c r="A103" s="18" t="inlineStr">
        <is>
          <t>OK</t>
        </is>
      </c>
      <c r="B103" s="18" t="inlineStr">
        <is>
          <t>Igor</t>
        </is>
      </c>
      <c r="C103" s="16" t="n">
        <v>97</v>
      </c>
      <c r="D103" s="16" t="inlineStr">
        <is>
          <t>2021</t>
        </is>
      </c>
      <c r="E103" s="16" t="inlineStr">
        <is>
          <t>Potential for Potable Water Savings due to Rainwater Use in a Precast Concrete Factory</t>
        </is>
      </c>
      <c r="F103" s="16" t="inlineStr">
        <is>
          <t>BERTUZZI, G.; GHISI, E.</t>
        </is>
      </c>
      <c r="G103" s="16" t="inlineStr">
        <is>
          <t>Water, v. 13, p. 448, 2021. Citações:6|6</t>
        </is>
      </c>
      <c r="H103" s="14" t="inlineStr">
        <is>
          <t>http://dx.doi.org/10.3390/w13040448</t>
        </is>
      </c>
      <c r="I103" s="16" t="inlineStr">
        <is>
          <t>Agua-Pluvial, Agua-Potavel, Industrial-Servicos, Aproveitamento-agua-chuva</t>
        </is>
      </c>
      <c r="J103" s="16" t="inlineStr">
        <is>
          <t>Agua-Pluvial</t>
        </is>
      </c>
      <c r="K103" s="16" t="inlineStr">
        <is>
          <t>Agua-Potavel</t>
        </is>
      </c>
      <c r="L103" s="16" t="inlineStr">
        <is>
          <t>Industrial-Servicos</t>
        </is>
      </c>
      <c r="M103" s="16" t="inlineStr">
        <is>
          <t>Aproveitamento-agua-chuva</t>
        </is>
      </c>
      <c r="N103" s="16" t="n"/>
      <c r="O103" s="16" t="n"/>
      <c r="P103" s="18" t="n"/>
    </row>
    <row r="104" ht="14.25" customHeight="1" s="19">
      <c r="A104" s="18" t="inlineStr">
        <is>
          <t>OK</t>
        </is>
      </c>
      <c r="B104" s="18" t="inlineStr">
        <is>
          <t>Igor</t>
        </is>
      </c>
      <c r="C104" s="16" t="n">
        <v>98</v>
      </c>
      <c r="D104" s="16" t="inlineStr">
        <is>
          <t>2021</t>
        </is>
      </c>
      <c r="E104" s="16" t="inlineStr">
        <is>
          <t>Water Quality and Financial Analysis of a System Combining Rainwater and Greywater in a House</t>
        </is>
      </c>
      <c r="F104" s="16" t="inlineStr">
        <is>
          <t>ROSA, G. C.; GHISI, E.</t>
        </is>
      </c>
      <c r="G104" s="16" t="inlineStr">
        <is>
          <t>Water, v. 13, p. 930, 2021. Citações:11|11</t>
        </is>
      </c>
      <c r="H104" s="14" t="inlineStr">
        <is>
          <t>http://dx.doi.org/10.3390/w13070930</t>
        </is>
      </c>
      <c r="I104" s="16" t="inlineStr">
        <is>
          <t>Agua-Pluvial, Agua-Cinza, CCV, Aproveitamento-agua-chuva, Qualidade-Agua</t>
        </is>
      </c>
      <c r="J104" s="16" t="inlineStr">
        <is>
          <t>Agua-Pluvial</t>
        </is>
      </c>
      <c r="K104" s="16" t="inlineStr">
        <is>
          <t>Agua-Cinza</t>
        </is>
      </c>
      <c r="L104" s="16" t="inlineStr">
        <is>
          <t>CCV</t>
        </is>
      </c>
      <c r="M104" s="16" t="inlineStr">
        <is>
          <t>Aproveitamento-agua-chuva</t>
        </is>
      </c>
      <c r="N104" s="16" t="inlineStr">
        <is>
          <t>Qualidade-Agua</t>
        </is>
      </c>
      <c r="O104" s="16" t="n"/>
      <c r="P104" s="18" t="n"/>
    </row>
    <row r="105" ht="14.25" customHeight="1" s="19">
      <c r="A105" s="18" t="inlineStr">
        <is>
          <t>OK</t>
        </is>
      </c>
      <c r="B105" s="18" t="inlineStr">
        <is>
          <t>Igor</t>
        </is>
      </c>
      <c r="C105" s="16" t="n">
        <v>99</v>
      </c>
      <c r="D105" s="16" t="inlineStr">
        <is>
          <t>2021</t>
        </is>
      </c>
      <c r="E105" s="16" t="inlineStr">
        <is>
          <t>Influence of environmental variables on thermal comfort and air quality perception in office buildings in the humid subtropical climate zone of Brazil</t>
        </is>
      </c>
      <c r="F105" s="16" t="inlineStr">
        <is>
          <t>OLIVEIRA, C. C.; Rupp, Ricardo Forgiarini; GHISI, E.</t>
        </is>
      </c>
      <c r="G105" s="16" t="inlineStr">
        <is>
          <t>ENERGY AND BUILDINGS, v. 243, p. 110982, 2021. Citações:25|28</t>
        </is>
      </c>
      <c r="H105" s="14" t="inlineStr">
        <is>
          <t>http://dx.doi.org/10.1016/j.enbuild.2021.110982</t>
        </is>
      </c>
      <c r="I105" s="16" t="inlineStr">
        <is>
          <t>Conforto-Termico, Qualidade-Ar, Comercial-Escritorio</t>
        </is>
      </c>
      <c r="J105" s="16" t="inlineStr">
        <is>
          <t>Conforto-Termico</t>
        </is>
      </c>
      <c r="K105" s="16" t="inlineStr">
        <is>
          <t>Qualidade-Ar</t>
        </is>
      </c>
      <c r="L105" s="16" t="inlineStr">
        <is>
          <t>Comercial-Escritorio</t>
        </is>
      </c>
      <c r="M105" s="16" t="n"/>
      <c r="N105" s="16" t="n"/>
      <c r="O105" s="16" t="n"/>
      <c r="P105" s="18" t="n"/>
    </row>
    <row r="106" ht="14.25" customHeight="1" s="19">
      <c r="A106" s="18" t="inlineStr">
        <is>
          <t>OK</t>
        </is>
      </c>
      <c r="B106" s="18" t="inlineStr">
        <is>
          <t>Igor</t>
        </is>
      </c>
      <c r="C106" s="16" t="n">
        <v>100</v>
      </c>
      <c r="D106" s="16" t="inlineStr">
        <is>
          <t>2021</t>
        </is>
      </c>
      <c r="E106" s="16" t="inlineStr">
        <is>
          <t>Stormwater Harvested from Permeable Pavements as a Means to Save Potable Water in Buildings</t>
        </is>
      </c>
      <c r="F106" s="16" t="inlineStr">
        <is>
          <t>VAZ, I. C. M.; GHISI, E.; THIVES, L.P.</t>
        </is>
      </c>
      <c r="G106" s="16" t="inlineStr">
        <is>
          <t>Water, v. 13, p. 1896, 2021. Citações:10|14</t>
        </is>
      </c>
      <c r="H106" s="14" t="inlineStr">
        <is>
          <t>http://dx.doi.org/10.3390/w13141896</t>
        </is>
      </c>
      <c r="I106" s="16" t="inlineStr">
        <is>
          <t>Pavimento-Permeavel, Agua-Pluvial, Agua-Potavel, Escola-Universidade</t>
        </is>
      </c>
      <c r="J106" s="16" t="inlineStr">
        <is>
          <t>Pavimento-Permeavel</t>
        </is>
      </c>
      <c r="K106" s="16" t="inlineStr">
        <is>
          <t>Agua-Pluvial</t>
        </is>
      </c>
      <c r="L106" s="16" t="inlineStr">
        <is>
          <t>Agua-Potavel</t>
        </is>
      </c>
      <c r="M106" s="16" t="inlineStr">
        <is>
          <t>Escola-Universidade</t>
        </is>
      </c>
      <c r="N106" s="16" t="n"/>
      <c r="O106" s="16" t="n"/>
      <c r="P106" s="18" t="n"/>
    </row>
    <row r="107" ht="14.25" customHeight="1" s="19">
      <c r="A107" s="18" t="inlineStr">
        <is>
          <t>OK</t>
        </is>
      </c>
      <c r="B107" s="18" t="inlineStr">
        <is>
          <t>Igor</t>
        </is>
      </c>
      <c r="C107" s="16" t="n">
        <v>101</v>
      </c>
      <c r="D107" s="16" t="inlineStr">
        <is>
          <t>2021</t>
        </is>
      </c>
      <c r="E107" s="16" t="inlineStr">
        <is>
          <t>Evaluating the impact of the shape of school reference buildings on bottom-up energy benchmarking</t>
        </is>
      </c>
      <c r="F107" s="16" t="inlineStr">
        <is>
          <t>GERALDI, M. S.; GNECCO, V. M.; BARZAN NETO, A.; MARTINS, B. A. M.; GHISI, E.; FOSSATI, Michele; MELO, Ana Paula; LAMBERTS, Roberto</t>
        </is>
      </c>
      <c r="G107" s="16" t="inlineStr">
        <is>
          <t>JOURNAL OF BUILDING ENGINEERING, v. 43, p. 103142, 2021. Citações:27|28</t>
        </is>
      </c>
      <c r="H107" s="14" t="inlineStr">
        <is>
          <t>http://dx.doi.org/10.1016/j.jobe.2021.103142</t>
        </is>
      </c>
      <c r="I107" s="16" t="inlineStr">
        <is>
          <t>Benchmarking, Eletricidade, Escola-Universidade, Envoltoria, Analise-Agrupamento, Eficiencia-Energetica</t>
        </is>
      </c>
      <c r="J107" s="16" t="inlineStr">
        <is>
          <t>Benchmarking</t>
        </is>
      </c>
      <c r="K107" s="16" t="inlineStr">
        <is>
          <t>Eletricidade</t>
        </is>
      </c>
      <c r="L107" s="16" t="inlineStr">
        <is>
          <t>Escola-Universidade</t>
        </is>
      </c>
      <c r="M107" s="16" t="inlineStr">
        <is>
          <t>Envoltoria</t>
        </is>
      </c>
      <c r="N107" s="16" t="inlineStr">
        <is>
          <t>Analise-Agrupamento</t>
        </is>
      </c>
      <c r="O107" s="18" t="inlineStr">
        <is>
          <t>Eficiencia-Energetica</t>
        </is>
      </c>
      <c r="P107" s="18" t="n"/>
    </row>
    <row r="108" ht="14.25" customHeight="1" s="19">
      <c r="A108" s="18" t="inlineStr">
        <is>
          <t>OK</t>
        </is>
      </c>
      <c r="B108" s="18" t="inlineStr">
        <is>
          <t>Igor</t>
        </is>
      </c>
      <c r="C108" s="16" t="n">
        <v>102</v>
      </c>
      <c r="D108" s="16" t="inlineStr">
        <is>
          <t>2021</t>
        </is>
      </c>
      <c r="E108" s="16" t="inlineStr">
        <is>
          <t>Permeable Pavements as a Means to Save Water in Buildings: State of the Art in Brazil</t>
        </is>
      </c>
      <c r="F108" s="16" t="inlineStr">
        <is>
          <t>VAZ, I. C. M.; ANTUNES, L. N.; GHISI, E.; THIVES, L.P.</t>
        </is>
      </c>
      <c r="G108" s="16" t="inlineStr">
        <is>
          <t>Sci, v. 3, p. 36, 2021. Citações:6</t>
        </is>
      </c>
      <c r="H108" s="14" t="inlineStr">
        <is>
          <t>http://dx.doi.org/10.3390/sci3040036</t>
        </is>
      </c>
      <c r="I108" s="16" t="inlineStr">
        <is>
          <t>Pavimento-Permeavel, Agua-Potavel, Revisao-Literatura</t>
        </is>
      </c>
      <c r="J108" s="16" t="inlineStr">
        <is>
          <t>Pavimento-Permeavel</t>
        </is>
      </c>
      <c r="K108" s="16" t="inlineStr">
        <is>
          <t>Agua-Potavel</t>
        </is>
      </c>
      <c r="L108" s="16" t="inlineStr">
        <is>
          <t>Revisao-Literatura</t>
        </is>
      </c>
      <c r="M108" s="16" t="n"/>
      <c r="N108" s="16" t="n"/>
      <c r="O108" s="16" t="n"/>
      <c r="P108" s="18" t="n"/>
    </row>
    <row r="109" ht="14.25" customHeight="1" s="19">
      <c r="A109" s="18" t="inlineStr">
        <is>
          <t>OK</t>
        </is>
      </c>
      <c r="B109" s="18" t="inlineStr">
        <is>
          <t>Igor</t>
        </is>
      </c>
      <c r="C109" s="16" t="n">
        <v>103</v>
      </c>
      <c r="D109" s="16" t="inlineStr">
        <is>
          <t>2021</t>
        </is>
      </c>
      <c r="E109" s="16" t="inlineStr">
        <is>
          <t>Assessment of air quality perception and its effects on users? thermal comfort in office buildings</t>
        </is>
      </c>
      <c r="F109" s="16" t="inlineStr">
        <is>
          <t>OLIVEIRA, C. C.; RUPP, R.F.; GHISI, E.</t>
        </is>
      </c>
      <c r="G109" s="16" t="inlineStr">
        <is>
          <t>Sci, v. 3, p. 47, 2021. Citações:8</t>
        </is>
      </c>
      <c r="H109" s="14" t="inlineStr">
        <is>
          <t>http://dx.doi.org/10.3390/sci3040047</t>
        </is>
      </c>
      <c r="I109" s="16" t="inlineStr">
        <is>
          <t>Qualidade-Ar, Conforto-Termico, Comercial-Escritorio</t>
        </is>
      </c>
      <c r="J109" s="16" t="inlineStr">
        <is>
          <t>Qualidade-Ar</t>
        </is>
      </c>
      <c r="K109" s="16" t="inlineStr">
        <is>
          <t>Conforto-Termico</t>
        </is>
      </c>
      <c r="L109" s="16" t="inlineStr">
        <is>
          <t>Comercial-Escritorio</t>
        </is>
      </c>
      <c r="M109" s="16" t="n"/>
      <c r="N109" s="16" t="n"/>
      <c r="O109" s="16" t="n"/>
      <c r="P109" s="18" t="n"/>
    </row>
    <row r="110" ht="14.25" customHeight="1" s="19">
      <c r="A110" s="18" t="inlineStr">
        <is>
          <t>OK</t>
        </is>
      </c>
      <c r="B110" s="18" t="inlineStr">
        <is>
          <t>Igor</t>
        </is>
      </c>
      <c r="C110" s="16" t="n">
        <v>104</v>
      </c>
      <c r="D110" s="16" t="inlineStr">
        <is>
          <t>2020</t>
        </is>
      </c>
      <c r="E110" s="16" t="inlineStr">
        <is>
          <t>Estimating the sensitivity of design variables in the thermal and energy performance of buildings through a systematic procedure</t>
        </is>
      </c>
      <c r="F110" s="16" t="inlineStr">
        <is>
          <t>SILVA, A. S.; GHISI, E.</t>
        </is>
      </c>
      <c r="G110" s="16" t="inlineStr">
        <is>
          <t>JOURNAL OF CLEANER PRODUCTION, v. 244, p. 118753, 2020. Citações:33|32</t>
        </is>
      </c>
      <c r="H110" s="14" t="inlineStr">
        <is>
          <t>http://dx.doi.org/10.1016/j.jclepro.2019.118753</t>
        </is>
      </c>
      <c r="I110" s="16" t="inlineStr">
        <is>
          <t>Simulacao-Computacional, Conforto-Termico, Eletricidade, Analise-Incerteza, Analise-Sensibilidade, Eficiencia-Energetica</t>
        </is>
      </c>
      <c r="J110" s="16" t="inlineStr">
        <is>
          <t>Simulacao-Computacional</t>
        </is>
      </c>
      <c r="K110" s="16" t="inlineStr">
        <is>
          <t>Conforto-Termico</t>
        </is>
      </c>
      <c r="L110" s="16" t="inlineStr">
        <is>
          <t>Eletricidade</t>
        </is>
      </c>
      <c r="M110" s="16" t="inlineStr">
        <is>
          <t>Analise-Incerteza</t>
        </is>
      </c>
      <c r="N110" s="16" t="inlineStr">
        <is>
          <t>Analise-Sensibilidade</t>
        </is>
      </c>
      <c r="O110" s="18" t="inlineStr">
        <is>
          <t>Eficiencia-Energetica</t>
        </is>
      </c>
      <c r="P110" s="18" t="n"/>
    </row>
    <row r="111" ht="14.25" customHeight="1" s="19">
      <c r="A111" s="18" t="inlineStr">
        <is>
          <t>OK</t>
        </is>
      </c>
      <c r="B111" s="18" t="inlineStr">
        <is>
          <t>Igor</t>
        </is>
      </c>
      <c r="C111" s="16" t="n">
        <v>105</v>
      </c>
      <c r="D111" s="16" t="inlineStr">
        <is>
          <t>2020</t>
        </is>
      </c>
      <c r="E111" s="16" t="inlineStr">
        <is>
          <t>A low-cost framework to establish internal blind control patterns and enable simulation-based user-centric design</t>
        </is>
      </c>
      <c r="F111" s="16" t="inlineStr">
        <is>
          <t>BAVARESCO, M. V.; GHISI, E.</t>
        </is>
      </c>
      <c r="G111" s="16" t="inlineStr">
        <is>
          <t>Journal of Building Engineering, v. 28, p. 101077--, 2020. Citações:11|9</t>
        </is>
      </c>
      <c r="H111" s="14" t="inlineStr">
        <is>
          <t>http://dx.doi.org/10.1016/j.jobe.2019.101077</t>
        </is>
      </c>
      <c r="I111" s="16" t="inlineStr">
        <is>
          <t>Sombreamento, Comportamento-Usuario, Simulacao-Computacional, Vidros-E-Janelas, Comercial-Escritorio, Estudo-Campo</t>
        </is>
      </c>
      <c r="J111" s="16" t="inlineStr">
        <is>
          <t>Sombreamento</t>
        </is>
      </c>
      <c r="K111" s="16" t="inlineStr">
        <is>
          <t>Comportamento-Usuario</t>
        </is>
      </c>
      <c r="L111" s="16" t="inlineStr">
        <is>
          <t>Simulacao-Computacional</t>
        </is>
      </c>
      <c r="M111" s="16" t="inlineStr">
        <is>
          <t>Vidros-E-Janelas</t>
        </is>
      </c>
      <c r="N111" s="16" t="inlineStr">
        <is>
          <t>Comercial-Escritorio</t>
        </is>
      </c>
      <c r="O111" s="16" t="inlineStr">
        <is>
          <t>Estudo-Campo</t>
        </is>
      </c>
      <c r="P111" s="18" t="n"/>
    </row>
    <row r="112" ht="14.25" customHeight="1" s="19">
      <c r="A112" s="18" t="inlineStr">
        <is>
          <t>OK</t>
        </is>
      </c>
      <c r="B112" s="18" t="inlineStr">
        <is>
          <t>Igor</t>
        </is>
      </c>
      <c r="C112" s="16" t="n">
        <v>106</v>
      </c>
      <c r="D112" s="16" t="inlineStr">
        <is>
          <t>2020</t>
        </is>
      </c>
      <c r="E112" s="16" t="inlineStr">
        <is>
          <t>Life cycle energy assessment and economic feasibility of stormwater harvested from pervious pavements</t>
        </is>
      </c>
      <c r="F112" s="16" t="inlineStr">
        <is>
          <t>VAZ, I. C. M.; GHISI, E.; THIVES, L.P.</t>
        </is>
      </c>
      <c r="G112" s="16" t="inlineStr">
        <is>
          <t>WATER RESEARCH, v. 170, p. 115322, 2020. Citações:23|24</t>
        </is>
      </c>
      <c r="H112" s="14" t="inlineStr">
        <is>
          <t>http://dx.doi.org/10.1016/j.watres.2019.115322</t>
        </is>
      </c>
      <c r="I112" s="16" t="inlineStr">
        <is>
          <t>ACV, CCV, Agua-Pluvial, Pavimento-Permeavel</t>
        </is>
      </c>
      <c r="J112" s="16" t="inlineStr">
        <is>
          <t>ACV</t>
        </is>
      </c>
      <c r="K112" s="16" t="inlineStr">
        <is>
          <t>CCV</t>
        </is>
      </c>
      <c r="L112" s="16" t="inlineStr">
        <is>
          <t>Agua-Pluvial</t>
        </is>
      </c>
      <c r="M112" s="16" t="inlineStr">
        <is>
          <t>Pavimento-Permeavel</t>
        </is>
      </c>
      <c r="N112" s="16" t="n"/>
      <c r="O112" s="16" t="n"/>
      <c r="P112" s="18" t="n"/>
    </row>
    <row r="113" ht="14.25" customHeight="1" s="19">
      <c r="A113" s="18" t="inlineStr">
        <is>
          <t>OK</t>
        </is>
      </c>
      <c r="B113" s="18" t="inlineStr">
        <is>
          <t>Igor</t>
        </is>
      </c>
      <c r="C113" s="16" t="n">
        <v>107</v>
      </c>
      <c r="D113" s="16" t="inlineStr">
        <is>
          <t>2020</t>
        </is>
      </c>
      <c r="E113" s="16" t="inlineStr">
        <is>
          <t>Methods used in social sciences that suit energy research: A literature review on qualitative methods to assess the human dimension of energy use in buildings</t>
        </is>
      </c>
      <c r="F113" s="16" t="inlineStr">
        <is>
          <t>BAVARESCO, M. V.; D'OCA, SIMONA; GHISI, E.; LAMBERTS, Roberto</t>
        </is>
      </c>
      <c r="G113" s="16" t="inlineStr">
        <is>
          <t>ENERGY AND BUILDINGS, v. 209, p. 109702, 2020. Citações:60|61</t>
        </is>
      </c>
      <c r="H113" s="14" t="inlineStr">
        <is>
          <t>http://dx.doi.org/10.1016/j.enbuild.2019.109702</t>
        </is>
      </c>
      <c r="I113" s="16" t="inlineStr">
        <is>
          <t>Comportamento-Usuario, Revisao-Literatura, Eficiencia-Energetica</t>
        </is>
      </c>
      <c r="J113" s="16" t="inlineStr">
        <is>
          <t>Comportamento-Usuario</t>
        </is>
      </c>
      <c r="K113" s="16" t="inlineStr">
        <is>
          <t>Revisao-Literatura</t>
        </is>
      </c>
      <c r="L113" s="18" t="inlineStr">
        <is>
          <t>Eficiencia-Energetica</t>
        </is>
      </c>
      <c r="M113" s="16" t="n"/>
      <c r="N113" s="16" t="n"/>
      <c r="O113" s="16" t="n"/>
      <c r="P113" s="18" t="n"/>
    </row>
    <row r="114" ht="14.25" customHeight="1" s="19">
      <c r="A114" s="18" t="inlineStr">
        <is>
          <t>OK</t>
        </is>
      </c>
      <c r="B114" s="18" t="inlineStr">
        <is>
          <t>Igor</t>
        </is>
      </c>
      <c r="C114" s="16" t="n">
        <v>108</v>
      </c>
      <c r="D114" s="16" t="inlineStr">
        <is>
          <t>2020</t>
        </is>
      </c>
      <c r="E114" s="16" t="inlineStr">
        <is>
          <t>Building-level and Stock-level in contrast: a literature review of the energy performance of buildings during the operational stage</t>
        </is>
      </c>
      <c r="F114" s="16" t="inlineStr">
        <is>
          <t>GERALDI, MATHEUS SOARES; Ghisi, Enedir</t>
        </is>
      </c>
      <c r="G114" s="16" t="inlineStr">
        <is>
          <t>ENERGY AND BUILDINGS, v. 211, p. 109810--, 2020. Citações:92|96</t>
        </is>
      </c>
      <c r="H114" s="14" t="inlineStr">
        <is>
          <t>http://dx.doi.org/10.1016/j.enbuild.2020.109810</t>
        </is>
      </c>
      <c r="I114" s="16" t="inlineStr">
        <is>
          <t>Eletricidade, Escala-Urbana, Revisao-Literatura, Eficiencia-Energetica</t>
        </is>
      </c>
      <c r="J114" s="16" t="inlineStr">
        <is>
          <t>Eletricidade</t>
        </is>
      </c>
      <c r="K114" s="16" t="inlineStr">
        <is>
          <t>Escala-Urbana</t>
        </is>
      </c>
      <c r="L114" s="16" t="inlineStr">
        <is>
          <t>Revisao-Literatura</t>
        </is>
      </c>
      <c r="M114" s="18" t="inlineStr">
        <is>
          <t>Eficiencia-Energetica</t>
        </is>
      </c>
      <c r="N114" s="16" t="n"/>
      <c r="O114" s="16" t="n"/>
      <c r="P114" s="18" t="n"/>
    </row>
    <row r="115" ht="14.25" customHeight="1" s="19">
      <c r="A115" s="18" t="inlineStr">
        <is>
          <t>OK</t>
        </is>
      </c>
      <c r="B115" s="18" t="inlineStr">
        <is>
          <t>Igor</t>
        </is>
      </c>
      <c r="C115" s="16" t="n">
        <v>109</v>
      </c>
      <c r="D115" s="16" t="inlineStr">
        <is>
          <t>2020</t>
        </is>
      </c>
      <c r="E115" s="16" t="inlineStr">
        <is>
          <t>Assessment of a rainwater harvesting system in a multi-storey residential building in Brazil</t>
        </is>
      </c>
      <c r="F115" s="16" t="inlineStr">
        <is>
          <t>MAYKOT, J. K.; GHISI, E.</t>
        </is>
      </c>
      <c r="G115" s="16" t="inlineStr">
        <is>
          <t>Water, v. 12, p. 546, 2020. Citações:23|24</t>
        </is>
      </c>
      <c r="H115" s="14" t="inlineStr">
        <is>
          <t>http://dx.doi.org/10.3390/w12020546</t>
        </is>
      </c>
      <c r="I115" s="16" t="inlineStr">
        <is>
          <t>Agua-Pluvial, Residencial-Multifamiliar, Aproveitamento-agua-chuva</t>
        </is>
      </c>
      <c r="J115" s="16" t="inlineStr">
        <is>
          <t>Agua-Pluvial</t>
        </is>
      </c>
      <c r="K115" s="16" t="inlineStr">
        <is>
          <t>Residencial-Multifamiliar</t>
        </is>
      </c>
      <c r="L115" s="16" t="inlineStr">
        <is>
          <t>Aproveitamento-agua-chuva</t>
        </is>
      </c>
      <c r="M115" s="16" t="n"/>
      <c r="N115" s="16" t="n"/>
      <c r="O115" s="16" t="n"/>
      <c r="P115" s="18" t="n"/>
    </row>
    <row r="116" ht="14.25" customHeight="1" s="19">
      <c r="A116" s="18" t="inlineStr">
        <is>
          <t>OK</t>
        </is>
      </c>
      <c r="B116" s="18" t="inlineStr">
        <is>
          <t>Igor</t>
        </is>
      </c>
      <c r="C116" s="16" t="n">
        <v>110</v>
      </c>
      <c r="D116" s="16" t="inlineStr">
        <is>
          <t>2020</t>
        </is>
      </c>
      <c r="E116" s="16" t="inlineStr">
        <is>
          <t>Harvesting rainwater from scaffolding platforms and walls to reduce potable water consumption at buildings construction sites</t>
        </is>
      </c>
      <c r="F116" s="16" t="inlineStr">
        <is>
          <t>SOUZA, T. D.; GHISI, E.</t>
        </is>
      </c>
      <c r="G116" s="16" t="inlineStr">
        <is>
          <t>JOURNAL OF CLEANER PRODUCTION, v. 258, p. 120909, 2020. Citações:11|14</t>
        </is>
      </c>
      <c r="H116" s="14" t="inlineStr">
        <is>
          <t>http://dx.doi.org/10.1016/j.jclepro.2020.120909</t>
        </is>
      </c>
      <c r="I116" s="16" t="inlineStr">
        <is>
          <t>Agua-Pluvial, Industrial-Servicos, Aproveitamento-agua-chuva</t>
        </is>
      </c>
      <c r="J116" s="16" t="inlineStr">
        <is>
          <t>Agua-Pluvial</t>
        </is>
      </c>
      <c r="K116" s="16" t="inlineStr">
        <is>
          <t>Industrial-Servicos</t>
        </is>
      </c>
      <c r="L116" s="16" t="inlineStr">
        <is>
          <t>Aproveitamento-agua-chuva</t>
        </is>
      </c>
      <c r="M116" s="16" t="n"/>
      <c r="N116" s="16" t="n"/>
      <c r="O116" s="16" t="n"/>
      <c r="P116" s="18" t="n"/>
    </row>
    <row r="117" ht="14.25" customHeight="1" s="19">
      <c r="A117" s="18" t="inlineStr">
        <is>
          <t>OK</t>
        </is>
      </c>
      <c r="B117" s="18" t="inlineStr">
        <is>
          <t>Igor</t>
        </is>
      </c>
      <c r="C117" s="16" t="n">
        <v>111</v>
      </c>
      <c r="D117" s="16" t="inlineStr">
        <is>
          <t>2020</t>
        </is>
      </c>
      <c r="E117" s="16" t="inlineStr">
        <is>
          <t>Electricity savings by reducing water consumption in a whole city: a case study in Joinville, Southern Brazil</t>
        </is>
      </c>
      <c r="F117" s="16" t="inlineStr">
        <is>
          <t>CUREAU, R. J.; GHISI, E.</t>
        </is>
      </c>
      <c r="G117" s="16" t="inlineStr">
        <is>
          <t>JOURNAL OF CLEANER PRODUCTION, v. 261, p. 121194, 2020. Citações:16|16</t>
        </is>
      </c>
      <c r="H117" s="14" t="inlineStr">
        <is>
          <t>http://dx.doi.org/10.1016/j.jclepro.2020.121194</t>
        </is>
      </c>
      <c r="I117" s="16" t="inlineStr">
        <is>
          <t>Agua-Potavel, Eletricidade, Escala-Urbana, Aproveitamento-agua-chuva, Agua-Pluvial</t>
        </is>
      </c>
      <c r="J117" s="16" t="inlineStr">
        <is>
          <t>Agua-Potavel</t>
        </is>
      </c>
      <c r="K117" s="16" t="inlineStr">
        <is>
          <t>Eletricidade</t>
        </is>
      </c>
      <c r="L117" s="16" t="inlineStr">
        <is>
          <t>Escala-Urbana</t>
        </is>
      </c>
      <c r="M117" s="16" t="inlineStr">
        <is>
          <t>Aproveitamento-agua-chuva</t>
        </is>
      </c>
      <c r="N117" s="16" t="inlineStr">
        <is>
          <t>Agua-Pluvial</t>
        </is>
      </c>
      <c r="O117" s="16" t="n"/>
      <c r="P117" s="18" t="n"/>
    </row>
    <row r="118" ht="14.25" customHeight="1" s="19">
      <c r="A118" s="18" t="inlineStr">
        <is>
          <t>OK</t>
        </is>
      </c>
      <c r="B118" s="18" t="inlineStr">
        <is>
          <t>Igor</t>
        </is>
      </c>
      <c r="C118" s="16" t="n">
        <v>112</v>
      </c>
      <c r="D118" s="16" t="inlineStr">
        <is>
          <t>2020</t>
        </is>
      </c>
      <c r="E118" s="16" t="inlineStr">
        <is>
          <t>Water end-uses and rainwater harvesting: a case study in Brazil</t>
        </is>
      </c>
      <c r="F118" s="16" t="inlineStr">
        <is>
          <t>HAMMES, G.; GHISI, E.; THIVES, L.P.</t>
        </is>
      </c>
      <c r="G118" s="16" t="inlineStr">
        <is>
          <t>Urban Water Journal, v. 17, p. 177-183, 2020. Citações:18|20</t>
        </is>
      </c>
      <c r="H118" s="14" t="inlineStr">
        <is>
          <t>http://dx.doi.org/10.1080/1573062X.2020.1748663</t>
        </is>
      </c>
      <c r="I118" s="16" t="inlineStr">
        <is>
          <t>Usos-Finais, Agua-Pluvial, Aproveitamento-agua-chuva</t>
        </is>
      </c>
      <c r="J118" s="16" t="inlineStr">
        <is>
          <t>Usos-Finais</t>
        </is>
      </c>
      <c r="K118" s="16" t="inlineStr">
        <is>
          <t>Agua-Pluvial</t>
        </is>
      </c>
      <c r="L118" s="16" t="inlineStr">
        <is>
          <t>Aproveitamento-agua-chuva</t>
        </is>
      </c>
      <c r="M118" s="16" t="n"/>
      <c r="N118" s="16" t="n"/>
      <c r="O118" s="16" t="n"/>
      <c r="P118" s="18" t="n"/>
    </row>
    <row r="119" ht="14.25" customHeight="1" s="19">
      <c r="A119" s="18" t="inlineStr">
        <is>
          <t>OK</t>
        </is>
      </c>
      <c r="B119" s="18" t="inlineStr">
        <is>
          <t>Igor</t>
        </is>
      </c>
      <c r="C119" s="16" t="n">
        <v>113</v>
      </c>
      <c r="D119" s="16" t="inlineStr">
        <is>
          <t>2020</t>
        </is>
      </c>
      <c r="E119" s="16" t="inlineStr">
        <is>
          <t>The effect of climate change on domestic Rainwater Harvesting</t>
        </is>
      </c>
      <c r="F119" s="16" t="inlineStr">
        <is>
          <t>SANTOS, C.; IMTEAZ, M. A.; GHISI, E.; MATOS, C.</t>
        </is>
      </c>
      <c r="G119" s="16" t="inlineStr">
        <is>
          <t>SCIENCE OF THE TOTAL ENVIRONMENT, v. 729, p. 138967, 2020. Citações:27|30</t>
        </is>
      </c>
      <c r="H119" s="14" t="inlineStr">
        <is>
          <t>http://dx.doi.org/10.1016/j.scitotenv.2020.138967</t>
        </is>
      </c>
      <c r="I119" s="16" t="inlineStr">
        <is>
          <t>Mudancas-Climaticas, Agua-Pluvial, Aproveitamento-agua-chuva</t>
        </is>
      </c>
      <c r="J119" s="16" t="inlineStr">
        <is>
          <t>Mudancas-Climaticas</t>
        </is>
      </c>
      <c r="K119" s="16" t="inlineStr">
        <is>
          <t>Agua-Pluvial</t>
        </is>
      </c>
      <c r="L119" s="16" t="inlineStr">
        <is>
          <t>Aproveitamento-agua-chuva</t>
        </is>
      </c>
      <c r="M119" s="16" t="n"/>
      <c r="N119" s="16" t="n"/>
      <c r="O119" s="16" t="n"/>
      <c r="P119" s="18" t="n"/>
    </row>
    <row r="120" ht="14.25" customHeight="1" s="19">
      <c r="A120" s="18" t="inlineStr">
        <is>
          <t>OK</t>
        </is>
      </c>
      <c r="B120" s="18" t="inlineStr">
        <is>
          <t>Igor</t>
        </is>
      </c>
      <c r="C120" s="16" t="n">
        <v>114</v>
      </c>
      <c r="D120" s="16" t="inlineStr">
        <is>
          <t>2020</t>
        </is>
      </c>
      <c r="E120" s="16" t="inlineStr">
        <is>
          <t>Water and energy consumption in schools: case studies in Brazil</t>
        </is>
      </c>
      <c r="F120" s="16" t="inlineStr">
        <is>
          <t>ANTUNES, LUCAS NIEHUNS; Ghisi, Enedir</t>
        </is>
      </c>
      <c r="G120" s="16" t="inlineStr">
        <is>
          <t>ENVIRONMENT, DEVELOPMENT AND SUSTAINABILITY, v. 22, p. 4225-4249, 2020. Citações:21|20</t>
        </is>
      </c>
      <c r="H120" s="14" t="inlineStr">
        <is>
          <t>http://dx.doi.org/10.1007/s10668-019-00380-x</t>
        </is>
      </c>
      <c r="I120" s="16" t="inlineStr">
        <is>
          <t>Agua-Potavel, Eletricidade, Escola-Universidade, Estudo-Campo</t>
        </is>
      </c>
      <c r="J120" s="16" t="inlineStr">
        <is>
          <t>Agua-Potavel</t>
        </is>
      </c>
      <c r="K120" s="16" t="inlineStr">
        <is>
          <t>Eletricidade</t>
        </is>
      </c>
      <c r="L120" s="16" t="inlineStr">
        <is>
          <t>Escola-Universidade</t>
        </is>
      </c>
      <c r="M120" s="16" t="inlineStr">
        <is>
          <t>Estudo-Campo</t>
        </is>
      </c>
      <c r="N120" s="16" t="n"/>
      <c r="O120" s="16" t="n"/>
      <c r="P120" s="18" t="n"/>
    </row>
    <row r="121" ht="14.25" customHeight="1" s="19">
      <c r="A121" s="18" t="inlineStr">
        <is>
          <t>OK</t>
        </is>
      </c>
      <c r="B121" s="18" t="inlineStr">
        <is>
          <t>Igor</t>
        </is>
      </c>
      <c r="C121" s="16" t="n">
        <v>115</v>
      </c>
      <c r="D121" s="16" t="inlineStr">
        <is>
          <t>2020</t>
        </is>
      </c>
      <c r="E121" s="16" t="inlineStr">
        <is>
          <t>A modelling evaluation of a system combining rainwater and greywater for potable water savings</t>
        </is>
      </c>
      <c r="F121" s="16" t="inlineStr">
        <is>
          <t>ROSA, G. C.; GHISI, E.</t>
        </is>
      </c>
      <c r="G121" s="16" t="inlineStr">
        <is>
          <t>Urban Water Journal, v. 17, p. 283-291, 2020. Citações:10|8</t>
        </is>
      </c>
      <c r="H121" s="14" t="inlineStr">
        <is>
          <t>http://dx.doi.org/10.1080/1573062X.2020.176406</t>
        </is>
      </c>
      <c r="I121" s="16" t="inlineStr">
        <is>
          <t>Agua-Pluvial, Agua-Cinza, Simulacao-Computacional, Aproveitamento-agua-chuva</t>
        </is>
      </c>
      <c r="J121" s="16" t="inlineStr">
        <is>
          <t>Agua-Pluvial</t>
        </is>
      </c>
      <c r="K121" s="16" t="inlineStr">
        <is>
          <t>Agua-Cinza</t>
        </is>
      </c>
      <c r="L121" s="16" t="inlineStr">
        <is>
          <t>Simulacao-Computacional</t>
        </is>
      </c>
      <c r="M121" s="16" t="inlineStr">
        <is>
          <t>Aproveitamento-agua-chuva</t>
        </is>
      </c>
      <c r="N121" s="16" t="n"/>
      <c r="O121" s="16" t="n"/>
      <c r="P121" s="18" t="n"/>
    </row>
    <row r="122" ht="14.25" customHeight="1" s="19">
      <c r="A122" s="18" t="inlineStr">
        <is>
          <t>OK</t>
        </is>
      </c>
      <c r="B122" s="18" t="inlineStr">
        <is>
          <t>Igor</t>
        </is>
      </c>
      <c r="C122" s="16" t="n">
        <v>116</v>
      </c>
      <c r="D122" s="16" t="inlineStr">
        <is>
          <t>2020</t>
        </is>
      </c>
      <c r="E122" s="16" t="inlineStr">
        <is>
          <t>Mapping the energy usage in Brazilian public schools</t>
        </is>
      </c>
      <c r="F122" s="16" t="inlineStr">
        <is>
          <t>GERALDI, M. S.; GHISI, E.</t>
        </is>
      </c>
      <c r="G122" s="16" t="inlineStr">
        <is>
          <t>ENERGY AND BUILDINGS, v. 224, p. 110209, 2020. Citações:24|26</t>
        </is>
      </c>
      <c r="H122" s="14" t="inlineStr">
        <is>
          <t>http://dx.doi.org/10.1016/j.enbuild.2020.110209</t>
        </is>
      </c>
      <c r="I122" s="16" t="inlineStr">
        <is>
          <t>Eletricidade, Escola-Universidade, Benchmarking, Eficiencia-Energetica</t>
        </is>
      </c>
      <c r="J122" s="16" t="inlineStr">
        <is>
          <t>Eletricidade</t>
        </is>
      </c>
      <c r="K122" s="16" t="inlineStr">
        <is>
          <t>Escola-Universidade</t>
        </is>
      </c>
      <c r="L122" s="16" t="inlineStr">
        <is>
          <t>Benchmarking</t>
        </is>
      </c>
      <c r="M122" s="18" t="inlineStr">
        <is>
          <t>Eficiencia-Energetica</t>
        </is>
      </c>
      <c r="N122" s="16" t="n"/>
      <c r="O122" s="16" t="n"/>
      <c r="P122" s="18" t="n"/>
    </row>
    <row r="123" ht="14.25" customHeight="1" s="19">
      <c r="A123" s="18" t="inlineStr">
        <is>
          <t>OK</t>
        </is>
      </c>
      <c r="B123" s="18" t="inlineStr">
        <is>
          <t>Igor</t>
        </is>
      </c>
      <c r="C123" s="16" t="n">
        <v>117</v>
      </c>
      <c r="D123" s="16" t="inlineStr">
        <is>
          <t>2020</t>
        </is>
      </c>
      <c r="E123" s="16" t="inlineStr">
        <is>
          <t>Reuse of ornamental rock solid waste for stabilization and solidification of galvanic solid waste: Optimization for sustainable waste management strategy</t>
        </is>
      </c>
      <c r="F123" s="16" t="inlineStr">
        <is>
          <t>BARRETO, L. S. S.; GHISI, E.; GODOI, C.; OLIVEIRA, F. J. S.</t>
        </is>
      </c>
      <c r="G123" s="16" t="inlineStr">
        <is>
          <t>JOURNAL OF CLEANER PRODUCTION, v. 275, p. 122996, 2020. Citações:15|17</t>
        </is>
      </c>
      <c r="H123" s="14" t="inlineStr">
        <is>
          <t>http://dx.doi.org/10.1016/j.jclepro.2020.122996</t>
        </is>
      </c>
      <c r="I123" s="16" t="inlineStr">
        <is>
          <t>ACV, Envoltoria, Resíduo</t>
        </is>
      </c>
      <c r="J123" s="16" t="inlineStr">
        <is>
          <t>ACV</t>
        </is>
      </c>
      <c r="K123" s="16" t="inlineStr">
        <is>
          <t>Envoltoria</t>
        </is>
      </c>
      <c r="L123" s="16" t="inlineStr">
        <is>
          <t>Resíduo</t>
        </is>
      </c>
      <c r="M123" s="16" t="n"/>
      <c r="N123" s="16" t="n"/>
      <c r="O123" s="16" t="n"/>
      <c r="P123" s="18" t="n"/>
    </row>
    <row r="124" ht="14.25" customHeight="1" s="19">
      <c r="A124" s="18" t="inlineStr">
        <is>
          <t>OK</t>
        </is>
      </c>
      <c r="B124" s="18" t="inlineStr">
        <is>
          <t>Igor</t>
        </is>
      </c>
      <c r="C124" s="16" t="n">
        <v>118</v>
      </c>
      <c r="D124" s="16" t="inlineStr">
        <is>
          <t>2020</t>
        </is>
      </c>
      <c r="E124" s="16" t="inlineStr">
        <is>
          <t>Assessing underlying effects on the choices of adaptive behaviours in offices through an interdisciplinary framework</t>
        </is>
      </c>
      <c r="F124" s="16" t="inlineStr">
        <is>
          <t>BAVARESCO, M. V.; D'OCA, SIMONA; GHISI, E.; PISELLO, A. L.</t>
        </is>
      </c>
      <c r="G124" s="16" t="inlineStr">
        <is>
          <t>BUILDING AND ENVIRONMENT, v. 181, p. 107086--, 2020. Citações:16|21</t>
        </is>
      </c>
      <c r="H124" s="14" t="inlineStr">
        <is>
          <t>http://dx.doi.org/10.1016/j.buildenv.2020.107086</t>
        </is>
      </c>
      <c r="I124" s="16" t="inlineStr">
        <is>
          <t>Comportamento-Usuario, Comercial-Escritorio</t>
        </is>
      </c>
      <c r="J124" s="16" t="inlineStr">
        <is>
          <t>Comportamento-Usuario</t>
        </is>
      </c>
      <c r="K124" s="16" t="inlineStr">
        <is>
          <t>Comercial-Escritorio</t>
        </is>
      </c>
      <c r="L124" s="16" t="n"/>
      <c r="M124" s="16" t="n"/>
      <c r="N124" s="16" t="n"/>
      <c r="O124" s="16" t="n"/>
      <c r="P124" s="18" t="n"/>
    </row>
    <row r="125" ht="14.25" customHeight="1" s="19">
      <c r="A125" s="18" t="inlineStr">
        <is>
          <t>OK</t>
        </is>
      </c>
      <c r="B125" s="18" t="inlineStr">
        <is>
          <t>Igor</t>
        </is>
      </c>
      <c r="C125" s="16" t="n">
        <v>119</v>
      </c>
      <c r="D125" s="16" t="inlineStr">
        <is>
          <t>2020</t>
        </is>
      </c>
      <c r="E125" s="16" t="inlineStr">
        <is>
          <t>The use of Permeable Interlocking Concrete Pavement to filter stormwater for non-potable uses in buildings</t>
        </is>
      </c>
      <c r="F125" s="16" t="inlineStr">
        <is>
          <t>GHISI, E.; BELOTTO, T.; THIVES, LISEANE PADILHA</t>
        </is>
      </c>
      <c r="G125" s="16" t="inlineStr">
        <is>
          <t>Water, v. 12, p. 2045, 2020. Citações:15|16</t>
        </is>
      </c>
      <c r="H125" s="14" t="inlineStr">
        <is>
          <t>http://dx.doi.org/10.3390/w12072045</t>
        </is>
      </c>
      <c r="I125" s="16" t="inlineStr">
        <is>
          <t>Pavimento-Permeavel, Agua-Pluvial, Estudo-Campo</t>
        </is>
      </c>
      <c r="J125" s="16" t="inlineStr">
        <is>
          <t>Pavimento-Permeavel</t>
        </is>
      </c>
      <c r="K125" s="16" t="inlineStr">
        <is>
          <t>Agua-Pluvial</t>
        </is>
      </c>
      <c r="L125" s="16" t="inlineStr">
        <is>
          <t>Estudo-Campo</t>
        </is>
      </c>
      <c r="M125" s="16" t="n"/>
      <c r="N125" s="16" t="n"/>
      <c r="O125" s="16" t="n"/>
      <c r="P125" s="18" t="n"/>
    </row>
    <row r="126" ht="14.25" customHeight="1" s="19">
      <c r="A126" s="18" t="inlineStr">
        <is>
          <t>OK</t>
        </is>
      </c>
      <c r="B126" s="18" t="inlineStr">
        <is>
          <t>Igor</t>
        </is>
      </c>
      <c r="C126" s="16" t="n">
        <v>120</v>
      </c>
      <c r="D126" s="16" t="inlineStr">
        <is>
          <t>2020</t>
        </is>
      </c>
      <c r="E126" s="16" t="inlineStr">
        <is>
          <t>Environmental assessment of a permeable pavement system used to harvest stormwater for non-potable water uses in a building</t>
        </is>
      </c>
      <c r="F126" s="16" t="inlineStr">
        <is>
          <t>ANTUNES, L. N.; GHISI, E.; SEVERIS, R. M.</t>
        </is>
      </c>
      <c r="G126" s="16" t="inlineStr">
        <is>
          <t>SCIENCE OF THE TOTAL ENVIRONMENT, v. 746, p. 141087--, 2020. Citações:30|39</t>
        </is>
      </c>
      <c r="H126" s="14" t="inlineStr">
        <is>
          <t>http://dx.doi.org/10.1016/j.scitotenv.2020.141087</t>
        </is>
      </c>
      <c r="I126" s="16" t="inlineStr">
        <is>
          <t>ACV, Pavimento-Permeavel, Agua-Pluvial, Escola-Universidade, Aproveitamento-agua-chuva</t>
        </is>
      </c>
      <c r="J126" s="16" t="inlineStr">
        <is>
          <t>ACV</t>
        </is>
      </c>
      <c r="K126" s="16" t="inlineStr">
        <is>
          <t>Pavimento-Permeavel</t>
        </is>
      </c>
      <c r="L126" s="16" t="inlineStr">
        <is>
          <t>Agua-Pluvial</t>
        </is>
      </c>
      <c r="M126" s="16" t="inlineStr">
        <is>
          <t>Escola-Universidade</t>
        </is>
      </c>
      <c r="N126" s="16" t="inlineStr">
        <is>
          <t>Aproveitamento-agua-chuva</t>
        </is>
      </c>
      <c r="O126" s="16" t="n"/>
      <c r="P126" s="18" t="n"/>
    </row>
    <row r="127" ht="14.25" customHeight="1" s="19">
      <c r="A127" s="18" t="inlineStr">
        <is>
          <t>OK</t>
        </is>
      </c>
      <c r="B127" s="18" t="inlineStr">
        <is>
          <t>Igor</t>
        </is>
      </c>
      <c r="C127" s="16" t="n">
        <v>121</v>
      </c>
      <c r="D127" s="16" t="inlineStr">
        <is>
          <t>2020</t>
        </is>
      </c>
      <c r="E127" s="16" t="inlineStr">
        <is>
          <t>Influência da umidade do ar no conforto térmico de usuários de edificações de escritórios em Florianópolis/SC</t>
        </is>
      </c>
      <c r="F127" s="16" t="inlineStr">
        <is>
          <t>OLIVEIRA, CANDI CITADINI DE; Rupp, Ricardo Forgiarini; Ghisi, Enedir</t>
        </is>
      </c>
      <c r="G127" s="16" t="inlineStr">
        <is>
          <t>AMBIENTE CONSTRUÍDO (SÃO PAULO. IMPRESSO), v. 20, p. 7-21, 2020</t>
        </is>
      </c>
      <c r="H127" s="14" t="inlineStr">
        <is>
          <t>http://dx.doi.org/10.1590/s1678-86212020000400457</t>
        </is>
      </c>
      <c r="I127" s="16" t="inlineStr">
        <is>
          <t>Conforto-Termico, Comercial-Escritorio</t>
        </is>
      </c>
      <c r="J127" s="16" t="inlineStr">
        <is>
          <t>Conforto-Termico</t>
        </is>
      </c>
      <c r="K127" s="16" t="inlineStr">
        <is>
          <t>Comercial-Escritorio</t>
        </is>
      </c>
      <c r="L127" s="16" t="n"/>
      <c r="M127" s="16" t="n"/>
      <c r="N127" s="16" t="n"/>
      <c r="O127" s="16" t="n"/>
      <c r="P127" s="18" t="n"/>
    </row>
    <row r="128" ht="14.25" customHeight="1" s="19">
      <c r="A128" s="18" t="inlineStr">
        <is>
          <t>OK</t>
        </is>
      </c>
      <c r="B128" s="18" t="inlineStr">
        <is>
          <t>Igor</t>
        </is>
      </c>
      <c r="C128" s="16" t="n">
        <v>122</v>
      </c>
      <c r="D128" s="16" t="inlineStr">
        <is>
          <t>2020</t>
        </is>
      </c>
      <c r="E128" s="16" t="inlineStr">
        <is>
          <t>Avaliação do Ciclo de Vida de diferentes envoltórias para habitações de interesse social em Florianópolis</t>
        </is>
      </c>
      <c r="F128" s="16" t="inlineStr">
        <is>
          <t>AZEVEDO, LETICIA DALPAZ DE; GERALDI, MATHEUS SOARES; Ghisi, Enedir</t>
        </is>
      </c>
      <c r="G128" s="16" t="inlineStr">
        <is>
          <t>AMBIENTE CONSTRUÍDO (SÃO PAULO. IMPRESSO), v. 20, p. 123-141, 2020</t>
        </is>
      </c>
      <c r="H128" s="14" t="inlineStr">
        <is>
          <t>http://dx.doi.org/10.1590/s1678-86212020000400463</t>
        </is>
      </c>
      <c r="I128" s="16" t="inlineStr">
        <is>
          <t>ACV, Envoltoria, Habitacao-Interesse-Social, Residencial-Unifamiliar</t>
        </is>
      </c>
      <c r="J128" s="16" t="inlineStr">
        <is>
          <t>ACV</t>
        </is>
      </c>
      <c r="K128" s="16" t="inlineStr">
        <is>
          <t>Envoltoria</t>
        </is>
      </c>
      <c r="L128" s="16" t="inlineStr">
        <is>
          <t>Habitacao-Interesse-Social</t>
        </is>
      </c>
      <c r="M128" s="16" t="inlineStr">
        <is>
          <t>Residencial-Unifamiliar</t>
        </is>
      </c>
      <c r="N128" s="16" t="n"/>
      <c r="O128" s="16" t="n"/>
      <c r="P128" s="18" t="n"/>
    </row>
    <row r="129" ht="14.25" customHeight="1" s="19">
      <c r="A129" s="18" t="inlineStr">
        <is>
          <t>OK</t>
        </is>
      </c>
      <c r="B129" s="18" t="inlineStr">
        <is>
          <t>Igor</t>
        </is>
      </c>
      <c r="C129" s="16" t="n">
        <v>123</v>
      </c>
      <c r="D129" s="16" t="inlineStr">
        <is>
          <t>2020</t>
        </is>
      </c>
      <c r="E129" s="16" t="inlineStr">
        <is>
          <t>Reduction of environmental impacts due to using permeable pavements to harvest stormwaterwater</t>
        </is>
      </c>
      <c r="F129" s="16" t="inlineStr">
        <is>
          <t>ANTUNES, L. N.; SYDNEY, C.; GHISI, E.; PHOENIX, V.; THIVES, L.P.; WHITE, C.; GARCIA, E. S. H.</t>
        </is>
      </c>
      <c r="G129" s="16" t="inlineStr">
        <is>
          <t>Water, v. 12, p. 2840, 2020. Citações:16|19</t>
        </is>
      </c>
      <c r="H129" s="14" t="inlineStr">
        <is>
          <t>http://dx.doi.org/10.3390/w12102840</t>
        </is>
      </c>
      <c r="I129" s="16" t="inlineStr">
        <is>
          <t>ACV, Pavimento-Permeavel, Agua-Pluvial, Escala-Urbana, Aproveitamento-agua-chuva</t>
        </is>
      </c>
      <c r="J129" s="16" t="inlineStr">
        <is>
          <t>ACV</t>
        </is>
      </c>
      <c r="K129" s="16" t="inlineStr">
        <is>
          <t>Pavimento-Permeavel</t>
        </is>
      </c>
      <c r="L129" s="16" t="inlineStr">
        <is>
          <t>Agua-Pluvial</t>
        </is>
      </c>
      <c r="M129" s="16" t="inlineStr">
        <is>
          <t>Escala-Urbana</t>
        </is>
      </c>
      <c r="N129" s="16" t="inlineStr">
        <is>
          <t>Aproveitamento-agua-chuva</t>
        </is>
      </c>
      <c r="O129" s="16" t="n"/>
      <c r="P129" s="18" t="n"/>
    </row>
    <row r="130" ht="14.25" customHeight="1" s="19">
      <c r="A130" s="18" t="inlineStr">
        <is>
          <t>OK</t>
        </is>
      </c>
      <c r="B130" s="18" t="inlineStr">
        <is>
          <t>Igor</t>
        </is>
      </c>
      <c r="C130" s="16" t="n">
        <v>124</v>
      </c>
      <c r="D130" s="16" t="inlineStr">
        <is>
          <t>2020</t>
        </is>
      </c>
      <c r="E130" s="16" t="inlineStr">
        <is>
          <t>Saving cold drinking water in residential hot water distribution systems</t>
        </is>
      </c>
      <c r="F130" s="16" t="inlineStr">
        <is>
          <t>IORIS, M. D.; GHISI, E.</t>
        </is>
      </c>
      <c r="G130" s="16" t="inlineStr">
        <is>
          <t>REVISTA ELETRÔNICA EM GESTÃO, EDUCAÇÃO E TECNOLOGIA AMBIENTAL, v. 24, p. e4, 2020. Citações:1</t>
        </is>
      </c>
      <c r="H130" s="14" t="inlineStr">
        <is>
          <t>http://dx.doi.org/10.5902/2236117062659</t>
        </is>
      </c>
      <c r="I130" s="16" t="inlineStr">
        <is>
          <t>Agua-Potavel, Aquecimento-Agua</t>
        </is>
      </c>
      <c r="J130" s="16" t="inlineStr">
        <is>
          <t>Agua-Potavel</t>
        </is>
      </c>
      <c r="K130" s="16" t="inlineStr">
        <is>
          <t>Aquecimento-Agua</t>
        </is>
      </c>
      <c r="L130" s="16" t="n"/>
      <c r="M130" s="16" t="n"/>
      <c r="N130" s="16" t="n"/>
      <c r="O130" s="16" t="n"/>
      <c r="P130" s="18" t="n"/>
    </row>
    <row r="131" ht="14.25" customHeight="1" s="19">
      <c r="A131" s="18" t="inlineStr">
        <is>
          <t>OK</t>
        </is>
      </c>
      <c r="B131" s="18" t="inlineStr">
        <is>
          <t>Igor</t>
        </is>
      </c>
      <c r="C131" s="16" t="n">
        <v>125</v>
      </c>
      <c r="D131" s="16" t="inlineStr">
        <is>
          <t>2020</t>
        </is>
      </c>
      <c r="E131" s="16" t="inlineStr">
        <is>
          <t>Economic feasibility analysis of rainwater harvesting: a case study in Imbituba, Brazil</t>
        </is>
      </c>
      <c r="F131" s="16" t="inlineStr">
        <is>
          <t>FREITAS, DOUGLAS ANCELMO; Ghisi, Enedir</t>
        </is>
      </c>
      <c r="G131" s="16" t="inlineStr">
        <is>
          <t>Urban Water Journal, v. 17, p. 1-7, 2020. Citações:10|9</t>
        </is>
      </c>
      <c r="H131" s="14" t="inlineStr">
        <is>
          <t>http://dx.doi.org/10.1080/1573062x.2020.1846062</t>
        </is>
      </c>
      <c r="I131" s="16" t="inlineStr">
        <is>
          <t>CCV, Agua-Pluvial, Aproveitamento-agua-chuva, Residencial-Unifamiliar</t>
        </is>
      </c>
      <c r="J131" s="16" t="inlineStr">
        <is>
          <t>CCV</t>
        </is>
      </c>
      <c r="K131" s="16" t="inlineStr">
        <is>
          <t>Agua-Pluvial</t>
        </is>
      </c>
      <c r="L131" s="16" t="inlineStr">
        <is>
          <t>Aproveitamento-agua-chuva</t>
        </is>
      </c>
      <c r="M131" s="16" t="inlineStr">
        <is>
          <t>Residencial-Unifamiliar</t>
        </is>
      </c>
      <c r="N131" s="16" t="n"/>
      <c r="O131" s="16" t="n"/>
      <c r="P131" s="18" t="n"/>
    </row>
    <row r="132" ht="14.25" customHeight="1" s="19">
      <c r="A132" s="18" t="inlineStr">
        <is>
          <t>OK</t>
        </is>
      </c>
      <c r="B132" s="18" t="inlineStr">
        <is>
          <t>Igor</t>
        </is>
      </c>
      <c r="C132" s="16" t="n">
        <v>126</v>
      </c>
      <c r="D132" s="16" t="inlineStr">
        <is>
          <t>2019</t>
        </is>
      </c>
      <c r="E132" s="16" t="inlineStr">
        <is>
          <t>Avaliação de modelos preditivos de conforto térmico em escritórios no clima subtropical brasileiro</t>
        </is>
      </c>
      <c r="F132" s="16" t="inlineStr">
        <is>
          <t>RUPP, R.F.; GHISI, E.</t>
        </is>
      </c>
      <c r="G132" s="16" t="inlineStr">
        <is>
          <t>AMBIENTE CONSTRUÍDO (ONLINE), v. 19, p. 91-107, 2019</t>
        </is>
      </c>
      <c r="H132" s="14" t="inlineStr">
        <is>
          <t>http://dx.doi.org/10.1590/s1678-86212019000200310</t>
        </is>
      </c>
      <c r="I132" s="16" t="inlineStr">
        <is>
          <t>Conforto-Termico, Comercial-Escritorio</t>
        </is>
      </c>
      <c r="J132" s="16" t="inlineStr">
        <is>
          <t>Conforto-Termico</t>
        </is>
      </c>
      <c r="K132" s="16" t="inlineStr">
        <is>
          <t>Comercial-Escritorio</t>
        </is>
      </c>
      <c r="L132" s="16" t="n"/>
      <c r="M132" s="16" t="n"/>
      <c r="N132" s="16" t="n"/>
      <c r="O132" s="16" t="n"/>
      <c r="P132" s="18" t="n"/>
    </row>
    <row r="133" ht="14.25" customHeight="1" s="19">
      <c r="A133" s="18" t="inlineStr">
        <is>
          <t>OK</t>
        </is>
      </c>
      <c r="B133" s="18" t="inlineStr">
        <is>
          <t>Igor</t>
        </is>
      </c>
      <c r="C133" s="16" t="n">
        <v>127</v>
      </c>
      <c r="D133" s="16" t="inlineStr">
        <is>
          <t>2019</t>
        </is>
      </c>
      <c r="E133" s="16" t="inlineStr">
        <is>
          <t>Tipos e eficiência de unidades de tratamento para água pluvial: revisão de literatura</t>
        </is>
      </c>
      <c r="F133" s="16" t="inlineStr">
        <is>
          <t>AZEVEDO, L. D.; BORGERT, A. E.; VENDRAMI, J. M.; GHISI, E.</t>
        </is>
      </c>
      <c r="G133" s="16" t="inlineStr">
        <is>
          <t>AMBIENTE CONSTRUÍDO (ONLINE), v. 19, p. 207-231, 2019</t>
        </is>
      </c>
      <c r="H133" s="14" t="inlineStr">
        <is>
          <t>http://dx.doi.org/10.1590/s1678-86212019000300334</t>
        </is>
      </c>
      <c r="I133" s="16" t="inlineStr">
        <is>
          <t>Agua-Pluvial, Revisao-Literatura, Qualidade-Agua</t>
        </is>
      </c>
      <c r="J133" s="16" t="inlineStr">
        <is>
          <t>Agua-Pluvial</t>
        </is>
      </c>
      <c r="K133" s="16" t="inlineStr">
        <is>
          <t>Revisao-Literatura</t>
        </is>
      </c>
      <c r="L133" s="16" t="inlineStr">
        <is>
          <t>Qualidade-Agua</t>
        </is>
      </c>
      <c r="M133" s="16" t="n"/>
      <c r="N133" s="16" t="n"/>
      <c r="O133" s="16" t="n"/>
      <c r="P133" s="18" t="n"/>
    </row>
    <row r="134" ht="14.25" customHeight="1" s="19">
      <c r="A134" s="18" t="inlineStr">
        <is>
          <t>OK</t>
        </is>
      </c>
      <c r="B134" s="18" t="inlineStr">
        <is>
          <t>Igor</t>
        </is>
      </c>
      <c r="C134" s="16" t="n">
        <v>128</v>
      </c>
      <c r="D134" s="16" t="inlineStr">
        <is>
          <t>2019</t>
        </is>
      </c>
      <c r="E134" s="16" t="inlineStr">
        <is>
          <t>Short-term instead of long-term rainfall time series in rainwater harvesting simulation in houses: An assessment using Bayesian Network</t>
        </is>
      </c>
      <c r="F134" s="16" t="inlineStr">
        <is>
          <t>GERALDI, M. S.; GHISI, E.</t>
        </is>
      </c>
      <c r="G134" s="16" t="inlineStr">
        <is>
          <t>RESOURCES CONSERVATION AND RECYCLING, v. 144, p. 1-12, 2019. Citações:36|39</t>
        </is>
      </c>
      <c r="H134" s="14" t="inlineStr">
        <is>
          <t>http://dx.doi.org/10.1016/j.resconrec.2019.01.017</t>
        </is>
      </c>
      <c r="I134" s="16" t="inlineStr">
        <is>
          <t>Agua-Pluvial, Simulacao-Computacional, Benchmarking, Aproveitamento-agua-chuva, Precipitacao, Residencial-Unifamiliar</t>
        </is>
      </c>
      <c r="J134" s="16" t="inlineStr">
        <is>
          <t>Agua-Pluvial</t>
        </is>
      </c>
      <c r="K134" s="16" t="inlineStr">
        <is>
          <t>Simulacao-Computacional</t>
        </is>
      </c>
      <c r="L134" s="16" t="inlineStr">
        <is>
          <t>Benchmarking</t>
        </is>
      </c>
      <c r="M134" s="16" t="inlineStr">
        <is>
          <t>Aproveitamento-agua-chuva</t>
        </is>
      </c>
      <c r="N134" s="16" t="inlineStr">
        <is>
          <t>Precipitacao</t>
        </is>
      </c>
      <c r="O134" s="16" t="inlineStr">
        <is>
          <t>Residencial-Unifamiliar</t>
        </is>
      </c>
      <c r="P134" s="18" t="n"/>
    </row>
    <row r="135" ht="14.25" customHeight="1" s="19">
      <c r="A135" s="18" t="inlineStr">
        <is>
          <t>OK</t>
        </is>
      </c>
      <c r="B135" s="18" t="inlineStr">
        <is>
          <t>Igor</t>
        </is>
      </c>
      <c r="C135" s="16" t="n">
        <v>129</v>
      </c>
      <c r="D135" s="16" t="inlineStr">
        <is>
          <t>2019</t>
        </is>
      </c>
      <c r="E135" s="16" t="inlineStr">
        <is>
          <t>Environmental performance of hybrid rainwater-greywater systems in residential buildings</t>
        </is>
      </c>
      <c r="F135" s="16" t="inlineStr">
        <is>
          <t>MARINOSKI, Ana Kelly; GHISI, E.</t>
        </is>
      </c>
      <c r="G135" s="16" t="inlineStr">
        <is>
          <t>RESOURCES CONSERVATION AND RECYCLING, v. 144, p. 100-114, 2019. Citações:34|33</t>
        </is>
      </c>
      <c r="H135" s="14" t="inlineStr">
        <is>
          <t>http://dx.doi.org/10.1016/j.resconrec.2019.01.035</t>
        </is>
      </c>
      <c r="I135" s="16" t="inlineStr">
        <is>
          <t>ACV, Agua-Pluvial, Agua-Cinza, Aproveitamento-agua-chuva</t>
        </is>
      </c>
      <c r="J135" s="16" t="inlineStr">
        <is>
          <t>ACV</t>
        </is>
      </c>
      <c r="K135" s="16" t="inlineStr">
        <is>
          <t>Agua-Pluvial</t>
        </is>
      </c>
      <c r="L135" s="16" t="inlineStr">
        <is>
          <t>Agua-Cinza</t>
        </is>
      </c>
      <c r="M135" s="16" t="inlineStr">
        <is>
          <t>Aproveitamento-agua-chuva</t>
        </is>
      </c>
      <c r="N135" s="16" t="n"/>
      <c r="O135" s="16" t="n"/>
      <c r="P135" s="18" t="n"/>
    </row>
    <row r="136" ht="14.25" customHeight="1" s="19">
      <c r="A136" s="18" t="inlineStr">
        <is>
          <t>OK</t>
        </is>
      </c>
      <c r="B136" s="18" t="inlineStr">
        <is>
          <t>Igor</t>
        </is>
      </c>
      <c r="C136" s="16" t="n">
        <v>130</v>
      </c>
      <c r="D136" s="16" t="inlineStr">
        <is>
          <t>2019</t>
        </is>
      </c>
      <c r="E136" s="16" t="inlineStr">
        <is>
          <t>Electricity Savings Due to the Replacement of Fluorescent Lamps with LEDs in Classrooms</t>
        </is>
      </c>
      <c r="F136" s="16" t="inlineStr">
        <is>
          <t>GHISI, E.; MANOROV, T. C. S.; ANTUNES, L. N.; THIVES, L.P.</t>
        </is>
      </c>
      <c r="G136" s="16" t="inlineStr">
        <is>
          <t>EUROPEAN JOURNAL OF SUSTAINABLE DEVELOPMENT, v. 8, p. 64-74, 2019. Citações:1</t>
        </is>
      </c>
      <c r="H136" s="14" t="inlineStr">
        <is>
          <t>http://dx.doi.org/10.14207/ejsd.2019.v8n4p64</t>
        </is>
      </c>
      <c r="I136" s="16" t="inlineStr">
        <is>
          <t>Iluminacao, Eletricidade, Escola-Universidade, Eficiencia-Energetica</t>
        </is>
      </c>
      <c r="J136" s="16" t="inlineStr">
        <is>
          <t>Iluminacao</t>
        </is>
      </c>
      <c r="K136" s="16" t="inlineStr">
        <is>
          <t>Eletricidade</t>
        </is>
      </c>
      <c r="L136" s="16" t="inlineStr">
        <is>
          <t>Escola-Universidade</t>
        </is>
      </c>
      <c r="M136" s="18" t="inlineStr">
        <is>
          <t>Eficiencia-Energetica</t>
        </is>
      </c>
      <c r="N136" s="16" t="n"/>
      <c r="O136" s="16" t="n"/>
      <c r="P136" s="18" t="n"/>
    </row>
    <row r="137" ht="14.25" customHeight="1" s="19">
      <c r="A137" s="18" t="inlineStr">
        <is>
          <t>OK</t>
        </is>
      </c>
      <c r="B137" s="18" t="inlineStr">
        <is>
          <t>Igor</t>
        </is>
      </c>
      <c r="C137" s="16" t="n">
        <v>131</v>
      </c>
      <c r="D137" s="16" t="inlineStr">
        <is>
          <t>2019</t>
        </is>
      </c>
      <c r="E137" s="16" t="inlineStr">
        <is>
          <t>Comparative Analysis of Granular and Membrane Filters for Rainwater Treatment</t>
        </is>
      </c>
      <c r="F137" s="16" t="inlineStr">
        <is>
          <t>TEIXEIRA, CELIMAR AZAMBUJA; Ghisi, Enedir</t>
        </is>
      </c>
      <c r="G137" s="16" t="inlineStr">
        <is>
          <t>Water, v. 11, p. 1004, 2019. Citações:18|16</t>
        </is>
      </c>
      <c r="H137" s="14" t="inlineStr">
        <is>
          <t>http://dx.doi.org/10.3390/w11051004</t>
        </is>
      </c>
      <c r="I137" s="16" t="inlineStr">
        <is>
          <t>Agua-Pluvial, Qualidade-Agua</t>
        </is>
      </c>
      <c r="J137" s="16" t="inlineStr">
        <is>
          <t>Agua-Pluvial</t>
        </is>
      </c>
      <c r="K137" s="16" t="inlineStr">
        <is>
          <t>Qualidade-Agua</t>
        </is>
      </c>
      <c r="L137" s="16" t="n"/>
      <c r="M137" s="16" t="n"/>
      <c r="N137" s="16" t="n"/>
      <c r="O137" s="16" t="n"/>
      <c r="P137" s="18" t="n"/>
    </row>
    <row r="138" ht="14.25" customHeight="1" s="19">
      <c r="A138" s="18" t="inlineStr">
        <is>
          <t>OK</t>
        </is>
      </c>
      <c r="B138" s="18" t="inlineStr">
        <is>
          <t>Igor</t>
        </is>
      </c>
      <c r="C138" s="16" t="n">
        <v>132</v>
      </c>
      <c r="D138" s="16" t="inlineStr">
        <is>
          <t>2019</t>
        </is>
      </c>
      <c r="E138" s="16" t="inlineStr">
        <is>
          <t>Energy Efficiency of Water Heating Systems in Single-Family Dwellings in Brazil</t>
        </is>
      </c>
      <c r="F138" s="16" t="inlineStr">
        <is>
          <t>SANGOI, J. M.; GHISI, E.</t>
        </is>
      </c>
      <c r="G138" s="16" t="inlineStr">
        <is>
          <t>Water, v. 11, p. 1068, 2019. Citações:13|14</t>
        </is>
      </c>
      <c r="H138" s="14" t="inlineStr">
        <is>
          <t>http://dx.doi.org/10.3390/w11051068</t>
        </is>
      </c>
      <c r="I138" s="16" t="inlineStr">
        <is>
          <t>Aquecimento-Agua, Eletricidade, Residencial-Unifamiliar, Eficiencia-Energetica</t>
        </is>
      </c>
      <c r="J138" s="16" t="inlineStr">
        <is>
          <t>Aquecimento-Agua</t>
        </is>
      </c>
      <c r="K138" s="16" t="inlineStr">
        <is>
          <t>Eletricidade</t>
        </is>
      </c>
      <c r="L138" s="16" t="inlineStr">
        <is>
          <t>Residencial-Unifamiliar</t>
        </is>
      </c>
      <c r="M138" s="18" t="inlineStr">
        <is>
          <t>Eficiencia-Energetica</t>
        </is>
      </c>
      <c r="N138" s="16" t="n"/>
      <c r="O138" s="16" t="n"/>
      <c r="P138" s="18" t="n"/>
    </row>
    <row r="139" ht="14.25" customHeight="1" s="19">
      <c r="A139" s="18" t="inlineStr">
        <is>
          <t>OK</t>
        </is>
      </c>
      <c r="B139" s="18" t="inlineStr">
        <is>
          <t>Igor</t>
        </is>
      </c>
      <c r="C139" s="16" t="n">
        <v>133</v>
      </c>
      <c r="D139" s="16" t="inlineStr">
        <is>
          <t>2019</t>
        </is>
      </c>
      <c r="E139" s="16" t="inlineStr">
        <is>
          <t>Thermal sensitivity of occupants in different building typologies: the Griffiths Constant is a Variable</t>
        </is>
      </c>
      <c r="F139" s="16" t="inlineStr">
        <is>
          <t>Rupp, Ricardo Forgiarini; KIM, JUNGSOO; Ghisi, Enedir; DE DEAR, RICHARD</t>
        </is>
      </c>
      <c r="G139" s="16" t="inlineStr">
        <is>
          <t>ENERGY AND BUILDINGS, v. 200, p. 11-20, 2019. Citações:72|80</t>
        </is>
      </c>
      <c r="H139" s="14" t="inlineStr">
        <is>
          <t>http://dx.doi.org/10.1016/j.enbuild.2019.07.048</t>
        </is>
      </c>
      <c r="I139" s="16" t="inlineStr">
        <is>
          <t>Conforto-Termico, Comportamento-Usuario</t>
        </is>
      </c>
      <c r="J139" s="16" t="inlineStr">
        <is>
          <t>Conforto-Termico</t>
        </is>
      </c>
      <c r="K139" s="16" t="inlineStr">
        <is>
          <t>Comportamento-Usuario</t>
        </is>
      </c>
      <c r="L139" s="16" t="n"/>
      <c r="M139" s="16" t="n"/>
      <c r="N139" s="16" t="n"/>
      <c r="O139" s="16" t="n"/>
      <c r="P139" s="18" t="n"/>
    </row>
    <row r="140" ht="14.25" customHeight="1" s="19">
      <c r="A140" s="18" t="inlineStr">
        <is>
          <t>OK</t>
        </is>
      </c>
      <c r="B140" s="18" t="inlineStr">
        <is>
          <t>Igor</t>
        </is>
      </c>
      <c r="C140" s="16" t="n">
        <v>134</v>
      </c>
      <c r="D140" s="16" t="inlineStr">
        <is>
          <t>2019</t>
        </is>
      </c>
      <c r="E140" s="16" t="inlineStr">
        <is>
          <t>Technological innovations to assess and include the human dimension in the building-performance loop: A review</t>
        </is>
      </c>
      <c r="F140" s="16" t="inlineStr">
        <is>
          <t>BAVARESCO, MATEUS VINÍCIUS; D'OCA, SIMONA; Ghisi, Enedir; LAMBERTS, Roberto</t>
        </is>
      </c>
      <c r="G140" s="16" t="inlineStr">
        <is>
          <t>ENERGY AND BUILDINGS, v. 202, p. 109365--, 2019. Citações:41|46</t>
        </is>
      </c>
      <c r="H140" s="14" t="inlineStr">
        <is>
          <t>http://dx.doi.org/10.1016/j.enbuild.2019.109365</t>
        </is>
      </c>
      <c r="I140" s="16" t="inlineStr">
        <is>
          <t>Comportamento-Usuario, Revisao-Literatura</t>
        </is>
      </c>
      <c r="J140" s="16" t="inlineStr">
        <is>
          <t>Comportamento-Usuario</t>
        </is>
      </c>
      <c r="K140" s="16" t="inlineStr">
        <is>
          <t>Revisao-Literatura</t>
        </is>
      </c>
      <c r="L140" s="16" t="n"/>
      <c r="M140" s="16" t="n"/>
      <c r="N140" s="16" t="n"/>
      <c r="O140" s="16" t="n"/>
      <c r="P140" s="18" t="n"/>
    </row>
    <row r="141" ht="14.25" customHeight="1" s="19">
      <c r="A141" s="18" t="inlineStr">
        <is>
          <t>OK</t>
        </is>
      </c>
      <c r="B141" s="18" t="inlineStr">
        <is>
          <t>Igor</t>
        </is>
      </c>
      <c r="C141" s="16" t="n">
        <v>135</v>
      </c>
      <c r="D141" s="16" t="inlineStr">
        <is>
          <t>2019</t>
        </is>
      </c>
      <c r="E141" s="16" t="inlineStr">
        <is>
          <t>Assessing the Potential for Potable Water Savings in the Residential Sector of a City: A Case Study of Joinville City</t>
        </is>
      </c>
      <c r="F141" s="16" t="inlineStr">
        <is>
          <t>CUSTODIO, D. A.; GHISI, E.</t>
        </is>
      </c>
      <c r="G141" s="16" t="inlineStr">
        <is>
          <t>Water, v. 11, p. 2074--, 2019. Citações:12|16</t>
        </is>
      </c>
      <c r="H141" s="14" t="inlineStr">
        <is>
          <t>http://dx.doi.org/10.3390/w11102074</t>
        </is>
      </c>
      <c r="I141" s="16" t="inlineStr">
        <is>
          <t>Agua-Potavel, Escala-Urbana</t>
        </is>
      </c>
      <c r="J141" s="16" t="inlineStr">
        <is>
          <t>Agua-Potavel</t>
        </is>
      </c>
      <c r="K141" s="16" t="inlineStr">
        <is>
          <t>Escala-Urbana</t>
        </is>
      </c>
      <c r="L141" s="16" t="n"/>
      <c r="M141" s="16" t="n"/>
      <c r="N141" s="16" t="n"/>
      <c r="O141" s="16" t="n"/>
      <c r="P141" s="18" t="n"/>
    </row>
    <row r="142" ht="14.25" customHeight="1" s="19">
      <c r="A142" s="18" t="inlineStr">
        <is>
          <t>OK</t>
        </is>
      </c>
      <c r="B142" s="18" t="inlineStr">
        <is>
          <t>Igor</t>
        </is>
      </c>
      <c r="C142" s="16" t="n">
        <v>136</v>
      </c>
      <c r="D142" s="16" t="inlineStr">
        <is>
          <t>2019</t>
        </is>
      </c>
      <c r="E142" s="16" t="inlineStr">
        <is>
          <t>Reduction of potable water consumption and sewage generation in a city scale: a case study in Brazil</t>
        </is>
      </c>
      <c r="F142" s="16" t="inlineStr">
        <is>
          <t>CUREAU, R. J.; GHISI, E.</t>
        </is>
      </c>
      <c r="G142" s="16" t="inlineStr">
        <is>
          <t>Water, v. 11, p. 2351, 2019. Citações:18|21</t>
        </is>
      </c>
      <c r="H142" s="14" t="inlineStr">
        <is>
          <t>http://dx.doi.org/10.3390/w11112351</t>
        </is>
      </c>
      <c r="I142" s="16" t="inlineStr">
        <is>
          <t>Agua-Potavel, Escala-Urbana</t>
        </is>
      </c>
      <c r="J142" s="16" t="inlineStr">
        <is>
          <t>Agua-Potavel</t>
        </is>
      </c>
      <c r="K142" s="16" t="inlineStr">
        <is>
          <t>Escala-Urbana</t>
        </is>
      </c>
      <c r="L142" s="16" t="n"/>
      <c r="M142" s="16" t="n"/>
      <c r="N142" s="16" t="n"/>
      <c r="O142" s="16" t="n"/>
      <c r="P142" s="18" t="n"/>
    </row>
    <row r="143" ht="14.25" customHeight="1" s="19">
      <c r="A143" s="18" t="inlineStr">
        <is>
          <t>OK</t>
        </is>
      </c>
      <c r="B143" s="18" t="inlineStr">
        <is>
          <t>Igor</t>
        </is>
      </c>
      <c r="C143" s="16" t="n">
        <v>137</v>
      </c>
      <c r="D143" s="16" t="inlineStr">
        <is>
          <t>2019</t>
        </is>
      </c>
      <c r="E143" s="16" t="inlineStr">
        <is>
          <t>Analysis of permeability reduction in drainage asphalt mixtures due to decrease in void volume</t>
        </is>
      </c>
      <c r="F143" s="16" t="inlineStr">
        <is>
          <t>GARCIA, EMMANUELLE S.H.; THIVES, LISEANE PADILHA; Ghisi, Enedir; ANTUNES, LUCAS NIEHUNS</t>
        </is>
      </c>
      <c r="G143" s="16" t="inlineStr">
        <is>
          <t>JOURNAL OF CLEANER PRODUCTION, v. 248, p. 119292--, 2019. Citações:37</t>
        </is>
      </c>
      <c r="H143" s="14" t="inlineStr">
        <is>
          <t>http://dx.doi.org/10.1016/j.jclepro.2019.119292</t>
        </is>
      </c>
      <c r="I143" s="16" t="inlineStr">
        <is>
          <t>Pavimento-Permeavel</t>
        </is>
      </c>
      <c r="J143" s="16" t="inlineStr">
        <is>
          <t>Pavimento-Permeavel</t>
        </is>
      </c>
      <c r="K143" s="16" t="n"/>
      <c r="L143" s="16" t="n"/>
      <c r="M143" s="16" t="n"/>
      <c r="N143" s="16" t="n"/>
      <c r="O143" s="16" t="n"/>
      <c r="P143" s="18" t="n"/>
    </row>
    <row r="144" ht="14.25" customHeight="1" s="19">
      <c r="A144" s="18" t="inlineStr">
        <is>
          <t>OK</t>
        </is>
      </c>
      <c r="B144" s="18" t="inlineStr">
        <is>
          <t>Igor</t>
        </is>
      </c>
      <c r="C144" s="16" t="n">
        <v>138</v>
      </c>
      <c r="D144" s="16" t="inlineStr">
        <is>
          <t>2018</t>
        </is>
      </c>
      <c r="E144" s="16" t="inlineStr">
        <is>
          <t>Avaliação de viabilidade ambiental e econômica de sistemas de aproveitamento de água pluvial em habitação de baixo padrão: estudo de caso em Florianópolis, SC</t>
        </is>
      </c>
      <c r="F144" s="16" t="inlineStr">
        <is>
          <t>MARINOSKI, Ana Kelly; GHISI, E.</t>
        </is>
      </c>
      <c r="G144" s="16" t="inlineStr">
        <is>
          <t>AMBIENTE CONSTRUÍDO (ONLINE), v. 18, p. 423-443, 2018</t>
        </is>
      </c>
      <c r="H144" s="14" t="inlineStr">
        <is>
          <t>http://dx.doi.org/10.1590/s1678-86212018000100230</t>
        </is>
      </c>
      <c r="I144" s="16" t="inlineStr">
        <is>
          <t>ACV, CCV, Agua-Pluvial, Habitacao-Interesse-Social, Aproveitamento-agua-chuva</t>
        </is>
      </c>
      <c r="J144" s="16" t="inlineStr">
        <is>
          <t>ACV</t>
        </is>
      </c>
      <c r="K144" s="16" t="inlineStr">
        <is>
          <t>CCV</t>
        </is>
      </c>
      <c r="L144" s="16" t="inlineStr">
        <is>
          <t>Agua-Pluvial</t>
        </is>
      </c>
      <c r="M144" s="16" t="inlineStr">
        <is>
          <t>Habitacao-Interesse-Social</t>
        </is>
      </c>
      <c r="N144" s="16" t="inlineStr">
        <is>
          <t>Aproveitamento-agua-chuva</t>
        </is>
      </c>
      <c r="O144" s="16" t="n"/>
      <c r="P144" s="18" t="n"/>
    </row>
    <row r="145" ht="14.25" customHeight="1" s="19">
      <c r="A145" s="18" t="inlineStr">
        <is>
          <t>OK</t>
        </is>
      </c>
      <c r="B145" s="18" t="inlineStr">
        <is>
          <t>Igor</t>
        </is>
      </c>
      <c r="C145" s="16" t="n">
        <v>139</v>
      </c>
      <c r="D145" s="16" t="inlineStr">
        <is>
          <t>2018</t>
        </is>
      </c>
      <c r="E145" s="16" t="inlineStr">
        <is>
          <t>Environmental benefit analysis of strategies for potable water savings in residential buildings</t>
        </is>
      </c>
      <c r="F145" s="16" t="inlineStr">
        <is>
          <t>MARINOSKI, Ana Kelly; RUPP, R.F.; GHISI, E.</t>
        </is>
      </c>
      <c r="G145" s="16" t="inlineStr">
        <is>
          <t>JOURNAL OF ENVIRONMENTAL MANAGEMENT, v. 206, p. 28-39, 2018. Citações:60|64</t>
        </is>
      </c>
      <c r="H145" s="14" t="inlineStr">
        <is>
          <t>http://dx.doi.org/10.1016/j.jenvman.2017.10.004</t>
        </is>
      </c>
      <c r="I145" s="16" t="inlineStr">
        <is>
          <t>ACV, Agua-Potavel, Residencial-Unifamiliar, Aproveitamento-agua-chuva, Agua-Pluvial</t>
        </is>
      </c>
      <c r="J145" s="16" t="inlineStr">
        <is>
          <t>ACV</t>
        </is>
      </c>
      <c r="K145" s="16" t="inlineStr">
        <is>
          <t>Agua-Potavel</t>
        </is>
      </c>
      <c r="L145" s="16" t="inlineStr">
        <is>
          <t>Residencial-Unifamiliar</t>
        </is>
      </c>
      <c r="M145" s="16" t="inlineStr">
        <is>
          <t>Aproveitamento-agua-chuva</t>
        </is>
      </c>
      <c r="N145" s="16" t="inlineStr">
        <is>
          <t>Agua-Pluvial</t>
        </is>
      </c>
      <c r="O145" s="16" t="n"/>
      <c r="P145" s="18" t="n"/>
    </row>
    <row r="146" ht="14.25" customHeight="1" s="19">
      <c r="A146" s="18" t="inlineStr">
        <is>
          <t>OK</t>
        </is>
      </c>
      <c r="B146" s="18" t="inlineStr">
        <is>
          <t>Igor</t>
        </is>
      </c>
      <c r="C146" s="16" t="n">
        <v>140</v>
      </c>
      <c r="D146" s="16" t="inlineStr">
        <is>
          <t>2018</t>
        </is>
      </c>
      <c r="E146" s="16" t="inlineStr">
        <is>
          <t>Investment feasibility analysis of rainwater harvesting in a building in Brazil</t>
        </is>
      </c>
      <c r="F146" s="16" t="inlineStr">
        <is>
          <t>GHISI, E.; THIVES, L.P.; PAES, R. F. W.</t>
        </is>
      </c>
      <c r="G146" s="16" t="inlineStr">
        <is>
          <t>Water Science and Technology-Water Supply, v. 18, p. 1497-1504, 2018. Citações:6|9</t>
        </is>
      </c>
      <c r="H146" s="14" t="inlineStr">
        <is>
          <t>http://dx.doi.org/10.2166/ws.2017.218</t>
        </is>
      </c>
      <c r="I146" s="16" t="inlineStr">
        <is>
          <t>CCV, Agua-Pluvial, Aproveitamento-agua-chuva</t>
        </is>
      </c>
      <c r="J146" s="16" t="inlineStr">
        <is>
          <t>CCV</t>
        </is>
      </c>
      <c r="K146" s="16" t="inlineStr">
        <is>
          <t>Agua-Pluvial</t>
        </is>
      </c>
      <c r="L146" s="16" t="inlineStr">
        <is>
          <t>Aproveitamento-agua-chuva</t>
        </is>
      </c>
      <c r="M146" s="16" t="n"/>
      <c r="N146" s="16" t="n"/>
      <c r="O146" s="16" t="n"/>
      <c r="P146" s="18" t="n"/>
    </row>
    <row r="147" ht="14.25" customHeight="1" s="19">
      <c r="A147" s="18" t="inlineStr">
        <is>
          <t>OK</t>
        </is>
      </c>
      <c r="B147" s="18" t="inlineStr">
        <is>
          <t>Igor</t>
        </is>
      </c>
      <c r="C147" s="16" t="n">
        <v>141</v>
      </c>
      <c r="D147" s="16" t="inlineStr">
        <is>
          <t>2018</t>
        </is>
      </c>
      <c r="E147" s="16" t="inlineStr">
        <is>
          <t>Assessment of gender on requirements for thermal comfort in office buildings located in the Brazilian humid subtropical climate</t>
        </is>
      </c>
      <c r="F147" s="16" t="inlineStr">
        <is>
          <t>MAYKOT, JÉSSICA KUNTZ; Rupp, Ricardo Forgiarini; Ghisi, Enedir</t>
        </is>
      </c>
      <c r="G147" s="16" t="inlineStr">
        <is>
          <t>ENERGY AND BUILDINGS, v. 158, p. 1170-1183, 2018. Citações:31|34</t>
        </is>
      </c>
      <c r="H147" s="14" t="inlineStr">
        <is>
          <t>http://dx.doi.org/10.1016/j.enbuild.2017.11.036</t>
        </is>
      </c>
      <c r="I147" s="16" t="inlineStr">
        <is>
          <t>Demografia-Usuario, Conforto-Termico, Comercial-Escritorio</t>
        </is>
      </c>
      <c r="J147" s="16" t="inlineStr">
        <is>
          <t>Demografia-Usuario</t>
        </is>
      </c>
      <c r="K147" s="16" t="inlineStr">
        <is>
          <t>Conforto-Termico</t>
        </is>
      </c>
      <c r="L147" s="16" t="inlineStr">
        <is>
          <t>Comercial-Escritorio</t>
        </is>
      </c>
      <c r="M147" s="16" t="n"/>
      <c r="N147" s="16" t="n"/>
      <c r="O147" s="16" t="n"/>
      <c r="P147" s="18" t="n"/>
    </row>
    <row r="148" ht="14.25" customHeight="1" s="19">
      <c r="A148" s="18" t="inlineStr">
        <is>
          <t>OK</t>
        </is>
      </c>
      <c r="B148" s="18" t="inlineStr">
        <is>
          <t>Igor</t>
        </is>
      </c>
      <c r="C148" s="16" t="n">
        <v>142</v>
      </c>
      <c r="D148" s="16" t="inlineStr">
        <is>
          <t>2018</t>
        </is>
      </c>
      <c r="E148" s="16" t="inlineStr">
        <is>
          <t>Field study of mixed-mode office buildings in Southern Brazil using an adaptive thermal comfort framework</t>
        </is>
      </c>
      <c r="F148" s="16" t="inlineStr">
        <is>
          <t>Rupp, Ricardo Forgiarini; DE DEAR, RICHARD; Ghisi, Enedir</t>
        </is>
      </c>
      <c r="G148" s="16" t="inlineStr">
        <is>
          <t>ENERGY AND BUILDINGS, v. 158, p. 1475-1486, 2018. Citações:93|95</t>
        </is>
      </c>
      <c r="H148" s="14" t="inlineStr">
        <is>
          <t>http://dx.doi.org/10.1016/j.enbuild.2017.11.047</t>
        </is>
      </c>
      <c r="I148" s="16" t="inlineStr">
        <is>
          <t>Estudo-Campo, Comercial-Escritorio, Conforto-Termico, Ventilacao</t>
        </is>
      </c>
      <c r="J148" s="16" t="inlineStr">
        <is>
          <t>Estudo-Campo</t>
        </is>
      </c>
      <c r="K148" s="16" t="inlineStr">
        <is>
          <t>Comercial-Escritorio</t>
        </is>
      </c>
      <c r="L148" s="16" t="inlineStr">
        <is>
          <t>Conforto-Termico</t>
        </is>
      </c>
      <c r="M148" s="16" t="inlineStr">
        <is>
          <t>Ventilacao</t>
        </is>
      </c>
      <c r="N148" s="16" t="n"/>
      <c r="O148" s="16" t="n"/>
      <c r="P148" s="18" t="n"/>
    </row>
    <row r="149" ht="14.25" customHeight="1" s="19">
      <c r="A149" s="18" t="inlineStr">
        <is>
          <t>OK</t>
        </is>
      </c>
      <c r="B149" s="18" t="inlineStr">
        <is>
          <t>Igor</t>
        </is>
      </c>
      <c r="C149" s="16" t="n">
        <v>143</v>
      </c>
      <c r="D149" s="16" t="inlineStr">
        <is>
          <t>2018</t>
        </is>
      </c>
      <c r="E149" s="16" t="inlineStr">
        <is>
          <t>Assessment of the length of rainfall time series for rainwater harvesting in buildings</t>
        </is>
      </c>
      <c r="F149" s="16" t="inlineStr">
        <is>
          <t>GERALDI, M. S.; GHISI, E.</t>
        </is>
      </c>
      <c r="G149" s="16" t="inlineStr">
        <is>
          <t>RESOURCES CONSERVATION AND RECYCLING, v. 133, p. 231-241, 2018. Citações:34|32</t>
        </is>
      </c>
      <c r="H149" s="14" t="inlineStr">
        <is>
          <t>http://dx.doi.org/10.1016/j.resconrec.2018.02.007</t>
        </is>
      </c>
      <c r="I149" s="16" t="inlineStr">
        <is>
          <t>Agua-Pluvial, Simulacao-Computacional, Aproveitamento-agua-chuva</t>
        </is>
      </c>
      <c r="J149" s="16" t="inlineStr">
        <is>
          <t>Agua-Pluvial</t>
        </is>
      </c>
      <c r="K149" s="16" t="inlineStr">
        <is>
          <t>Simulacao-Computacional</t>
        </is>
      </c>
      <c r="L149" s="16" t="inlineStr">
        <is>
          <t>Aproveitamento-agua-chuva</t>
        </is>
      </c>
      <c r="M149" s="16" t="n"/>
      <c r="N149" s="16" t="n"/>
      <c r="O149" s="16" t="n"/>
      <c r="P149" s="18" t="n"/>
    </row>
    <row r="150" ht="14.25" customHeight="1" s="19">
      <c r="A150" s="18" t="inlineStr">
        <is>
          <t>OK</t>
        </is>
      </c>
      <c r="B150" s="18" t="inlineStr">
        <is>
          <t>Igor</t>
        </is>
      </c>
      <c r="C150" s="16" t="n">
        <v>144</v>
      </c>
      <c r="D150" s="16" t="inlineStr">
        <is>
          <t>2018</t>
        </is>
      </c>
      <c r="E150" s="16" t="inlineStr">
        <is>
          <t>Filtering Capability of Porous Asphalt Pavements</t>
        </is>
      </c>
      <c r="F150" s="16" t="inlineStr">
        <is>
          <t>THIVES, L.P.; GHISI, E.; BRECHT, D. G.; PIRES, D. M.</t>
        </is>
      </c>
      <c r="G150" s="16" t="inlineStr">
        <is>
          <t>Water, v. 10, p. 206, 2018. Citações:21|23</t>
        </is>
      </c>
      <c r="H150" s="14" t="inlineStr">
        <is>
          <t>http://dx.doi.org/10.3390/w10020206</t>
        </is>
      </c>
      <c r="I150" s="16" t="inlineStr">
        <is>
          <t>Pavimento-Permeavel, Agua-Pluvial</t>
        </is>
      </c>
      <c r="J150" s="16" t="inlineStr">
        <is>
          <t>Pavimento-Permeavel</t>
        </is>
      </c>
      <c r="K150" s="16" t="inlineStr">
        <is>
          <t>Agua-Pluvial</t>
        </is>
      </c>
      <c r="L150" s="16" t="n"/>
      <c r="M150" s="16" t="n"/>
      <c r="N150" s="16" t="n"/>
      <c r="O150" s="16" t="n"/>
      <c r="P150" s="18" t="n"/>
    </row>
    <row r="151" ht="14.25" customHeight="1" s="19">
      <c r="A151" s="18" t="inlineStr">
        <is>
          <t>OK</t>
        </is>
      </c>
      <c r="B151" s="18" t="inlineStr">
        <is>
          <t>Igor</t>
        </is>
      </c>
      <c r="C151" s="16" t="n">
        <v>145</v>
      </c>
      <c r="D151" s="16" t="inlineStr">
        <is>
          <t>2018</t>
        </is>
      </c>
      <c r="E151" s="16" t="inlineStr">
        <is>
          <t>Influence of user interaction with internal blinds on the energy efficiency of office buildings</t>
        </is>
      </c>
      <c r="F151" s="16" t="inlineStr">
        <is>
          <t>BAVARESCO, M. V.; GHISI, E.</t>
        </is>
      </c>
      <c r="G151" s="16" t="inlineStr">
        <is>
          <t>ENERGY AND BUILDINGS, v. 166, p. 538-549, 2018. Citações:21|23</t>
        </is>
      </c>
      <c r="H151" s="14" t="inlineStr">
        <is>
          <t>http://dx.doi.org/10.1016/j.enbuild.2018.02.011</t>
        </is>
      </c>
      <c r="I151" s="16" t="inlineStr">
        <is>
          <t>Sombreamento, Comportamento-Usuario, Eletricidade, Comercial-Escritorio, Vidros-E-Janelas, Eficiencia-Energetica</t>
        </is>
      </c>
      <c r="J151" s="16" t="inlineStr">
        <is>
          <t>Sombreamento</t>
        </is>
      </c>
      <c r="K151" s="16" t="inlineStr">
        <is>
          <t>Comportamento-Usuario</t>
        </is>
      </c>
      <c r="L151" s="16" t="inlineStr">
        <is>
          <t>Eletricidade</t>
        </is>
      </c>
      <c r="M151" s="16" t="inlineStr">
        <is>
          <t>Comercial-Escritorio</t>
        </is>
      </c>
      <c r="N151" s="16" t="inlineStr">
        <is>
          <t>Vidros-E-Janelas</t>
        </is>
      </c>
      <c r="O151" s="16" t="inlineStr">
        <is>
          <t>Eficiencia-Energetica</t>
        </is>
      </c>
      <c r="P151" s="18" t="n"/>
    </row>
    <row r="152" ht="14.25" customHeight="1" s="19">
      <c r="A152" s="18" t="inlineStr">
        <is>
          <t>OK</t>
        </is>
      </c>
      <c r="B152" s="18" t="inlineStr">
        <is>
          <t>Igor</t>
        </is>
      </c>
      <c r="C152" s="16" t="n">
        <v>146</v>
      </c>
      <c r="D152" s="16" t="inlineStr">
        <is>
          <t>2018</t>
        </is>
      </c>
      <c r="E152" s="16" t="inlineStr">
        <is>
          <t>Associations of occupant demographics, thermal history and obesity variables with their thermal comfort in air-conditioned and mixed-mode ventilation office buildings</t>
        </is>
      </c>
      <c r="F152" s="16" t="inlineStr">
        <is>
          <t>RUPP, R.F.; KIM, J.; DE DEAR, R.; GHISI, E.</t>
        </is>
      </c>
      <c r="G152" s="16" t="inlineStr">
        <is>
          <t>BUILDING AND ENVIRONMENT, v. 135, p. 1-9, 2018. Citações:86|92</t>
        </is>
      </c>
      <c r="H152" s="14" t="inlineStr">
        <is>
          <t>http://dx.doi.org/10.1016/j.buildenv.2018.02.049</t>
        </is>
      </c>
      <c r="I152" s="16" t="inlineStr">
        <is>
          <t>Demografia-Usuario, Conforto-Termico, Comercial-Escritorio, Ventilacao</t>
        </is>
      </c>
      <c r="J152" s="16" t="inlineStr">
        <is>
          <t>Demografia-Usuario</t>
        </is>
      </c>
      <c r="K152" s="16" t="inlineStr">
        <is>
          <t>Conforto-Termico</t>
        </is>
      </c>
      <c r="L152" s="16" t="inlineStr">
        <is>
          <t>Comercial-Escritorio</t>
        </is>
      </c>
      <c r="M152" s="16" t="inlineStr">
        <is>
          <t>Ventilacao</t>
        </is>
      </c>
      <c r="N152" s="16" t="n"/>
      <c r="O152" s="16" t="n"/>
      <c r="P152" s="18" t="n"/>
    </row>
    <row r="153" ht="14.25" customHeight="1" s="19">
      <c r="A153" s="18" t="inlineStr">
        <is>
          <t>OK</t>
        </is>
      </c>
      <c r="B153" s="18" t="inlineStr">
        <is>
          <t>Igor</t>
        </is>
      </c>
      <c r="C153" s="16" t="n">
        <v>147</v>
      </c>
      <c r="D153" s="16" t="inlineStr">
        <is>
          <t>2018</t>
        </is>
      </c>
      <c r="E153" s="16" t="inlineStr">
        <is>
          <t>Identificação de perfis de comportamento do usuário para edificações residenciais multifamiliares e naturalmente ventiladas em Florianópolis</t>
        </is>
      </c>
      <c r="F153" s="16" t="inlineStr">
        <is>
          <t>BALVEDI, B. F.; BAVARESCO, M. V.; ROSA, A. S.; GHISI, E.</t>
        </is>
      </c>
      <c r="G153" s="16" t="inlineStr">
        <is>
          <t>AMBIENTE CONSTRUÍDO (ONLINE), v. 18, p. 149-160, 2018</t>
        </is>
      </c>
      <c r="H153" s="14" t="inlineStr">
        <is>
          <t>http://dx.doi.org/10.1590/s1678-86212018000300273</t>
        </is>
      </c>
      <c r="I153" s="16" t="inlineStr">
        <is>
          <t>Comportamento-Usuario, Residencial-Multifamiliar, Ventilacao</t>
        </is>
      </c>
      <c r="J153" s="16" t="inlineStr">
        <is>
          <t>Comportamento-Usuario</t>
        </is>
      </c>
      <c r="K153" s="16" t="inlineStr">
        <is>
          <t>Residencial-Multifamiliar</t>
        </is>
      </c>
      <c r="L153" s="16" t="inlineStr">
        <is>
          <t>Ventilacao</t>
        </is>
      </c>
      <c r="M153" s="16" t="n"/>
      <c r="N153" s="16" t="n"/>
      <c r="O153" s="16" t="n"/>
      <c r="P153" s="18" t="n"/>
    </row>
    <row r="154" ht="14.25" customHeight="1" s="19">
      <c r="A154" s="18" t="inlineStr">
        <is>
          <t>OK</t>
        </is>
      </c>
      <c r="B154" s="18" t="inlineStr">
        <is>
          <t>Igor</t>
        </is>
      </c>
      <c r="C154" s="16" t="n">
        <v>148</v>
      </c>
      <c r="D154" s="16" t="inlineStr">
        <is>
          <t>2018</t>
        </is>
      </c>
      <c r="E154" s="16" t="inlineStr">
        <is>
          <t>Influência do índice de massa corpórea e frequência de atividades físicas no conforto térmico humano: análise estatística de dados de estudo de campo com usuários de escritórios em Florianópolis, SC</t>
        </is>
      </c>
      <c r="F154" s="16" t="inlineStr">
        <is>
          <t>MENEGATTI, M. C.; RUPP, R.F.; GHISI, E.</t>
        </is>
      </c>
      <c r="G154" s="16" t="inlineStr">
        <is>
          <t>AMBIENTE CONSTRUÍDO (ONLINE), v. 18, p. 119-133, 2018</t>
        </is>
      </c>
      <c r="H154" s="14" t="inlineStr">
        <is>
          <t>http://dx.doi.org/10.1590/s1678-86212018000300271</t>
        </is>
      </c>
      <c r="I154" s="16" t="inlineStr">
        <is>
          <t>Demografia-Usuario, Conforto-Termico, Estudo-Campo</t>
        </is>
      </c>
      <c r="J154" s="16" t="inlineStr">
        <is>
          <t>Demografia-Usuario</t>
        </is>
      </c>
      <c r="K154" s="16" t="inlineStr">
        <is>
          <t>Conforto-Termico</t>
        </is>
      </c>
      <c r="L154" s="16" t="inlineStr">
        <is>
          <t>Estudo-Campo</t>
        </is>
      </c>
      <c r="M154" s="16" t="n"/>
      <c r="N154" s="16" t="n"/>
      <c r="O154" s="16" t="n"/>
      <c r="P154" s="18" t="n"/>
    </row>
    <row r="155" ht="14.25" customHeight="1" s="19">
      <c r="A155" s="18" t="inlineStr">
        <is>
          <t>OK</t>
        </is>
      </c>
      <c r="B155" s="18" t="inlineStr">
        <is>
          <t>Igor</t>
        </is>
      </c>
      <c r="C155" s="16" t="n">
        <v>149</v>
      </c>
      <c r="D155" s="16" t="inlineStr">
        <is>
          <t>2018</t>
        </is>
      </c>
      <c r="E155" s="16" t="inlineStr">
        <is>
          <t>Rainwater Harvesting in Buildings in Brazil: A Literature Review</t>
        </is>
      </c>
      <c r="F155" s="16" t="inlineStr">
        <is>
          <t>TESTON, A.; GERALDI, M. S.; COLASIO, B. M.; GHISI, E.</t>
        </is>
      </c>
      <c r="G155" s="16" t="inlineStr">
        <is>
          <t>Water, v. 10, p. 471, 2018. Citações:46|61</t>
        </is>
      </c>
      <c r="H155" s="14" t="inlineStr">
        <is>
          <t>http://dx.doi.org/10.3390/w10040471</t>
        </is>
      </c>
      <c r="I155" s="16" t="inlineStr">
        <is>
          <t>Agua-Pluvial, Revisao-Literatura, Aproveitamento-agua-chuva</t>
        </is>
      </c>
      <c r="J155" s="16" t="inlineStr">
        <is>
          <t>Agua-Pluvial</t>
        </is>
      </c>
      <c r="K155" s="16" t="inlineStr">
        <is>
          <t>Revisao-Literatura</t>
        </is>
      </c>
      <c r="L155" s="16" t="inlineStr">
        <is>
          <t>Aproveitamento-agua-chuva</t>
        </is>
      </c>
      <c r="M155" s="16" t="n"/>
      <c r="N155" s="16" t="n"/>
      <c r="O155" s="16" t="n"/>
      <c r="P155" s="18" t="n"/>
    </row>
    <row r="156" ht="14.25" customHeight="1" s="19">
      <c r="A156" s="18" t="inlineStr">
        <is>
          <t>OK</t>
        </is>
      </c>
      <c r="B156" s="18" t="inlineStr">
        <is>
          <t>Igor</t>
        </is>
      </c>
      <c r="C156" s="16" t="n">
        <v>150</v>
      </c>
      <c r="D156" s="16" t="inlineStr">
        <is>
          <t>2018</t>
        </is>
      </c>
      <c r="E156" s="16" t="inlineStr">
        <is>
          <t>Selecting design strategies using multi-criteria decision making to improve the sustainability of buildings</t>
        </is>
      </c>
      <c r="F156" s="16" t="inlineStr">
        <is>
          <t>INVIDIATA, ANDREA; LAVAGNA, MONICA; Ghisi, Enedir</t>
        </is>
      </c>
      <c r="G156" s="16" t="inlineStr">
        <is>
          <t>BUILDING AND ENVIRONMENT, v. 139, p. 58-68, 2018. Citações:122|138</t>
        </is>
      </c>
      <c r="H156" s="14" t="inlineStr">
        <is>
          <t>http://dx.doi.org/10.1016/j.buildenv.2018.04.041</t>
        </is>
      </c>
      <c r="I156" s="16" t="inlineStr">
        <is>
          <t>ACV, Envoltoria, Desempenho-Termico, Conforto-Termico, Mudancas-Climaticas</t>
        </is>
      </c>
      <c r="J156" s="16" t="inlineStr">
        <is>
          <t>ACV</t>
        </is>
      </c>
      <c r="K156" s="16" t="inlineStr">
        <is>
          <t>Envoltoria</t>
        </is>
      </c>
      <c r="L156" s="16" t="inlineStr">
        <is>
          <t>Desempenho-Termico</t>
        </is>
      </c>
      <c r="M156" s="16" t="inlineStr">
        <is>
          <t>Conforto-Termico</t>
        </is>
      </c>
      <c r="N156" s="16" t="inlineStr">
        <is>
          <t>Mudancas-Climaticas</t>
        </is>
      </c>
      <c r="O156" s="16" t="n"/>
      <c r="P156" s="18" t="n"/>
    </row>
    <row r="157" ht="14.25" customHeight="1" s="19">
      <c r="A157" s="18" t="inlineStr">
        <is>
          <t>OK</t>
        </is>
      </c>
      <c r="B157" s="18" t="inlineStr">
        <is>
          <t>Igor</t>
        </is>
      </c>
      <c r="C157" s="16" t="n">
        <v>151</v>
      </c>
      <c r="D157" s="16" t="inlineStr">
        <is>
          <t>2018</t>
        </is>
      </c>
      <c r="E157" s="16" t="inlineStr">
        <is>
          <t>Applying Energy Building Simulation in the Assessment of Energy Efficiency Measures in Factories</t>
        </is>
      </c>
      <c r="F157" s="16" t="inlineStr">
        <is>
          <t>WEEBER, MAX; Ghisi, Enedir; SAUER, ALEXANDER</t>
        </is>
      </c>
      <c r="G157" s="16" t="inlineStr">
        <is>
          <t>PROCEDIA CIRP, v. 69, p. 336-341, 2018. Citações:14</t>
        </is>
      </c>
      <c r="H157" s="14" t="inlineStr">
        <is>
          <t>http://dx.doi.org/10.1016/j.procir.2017.11.148</t>
        </is>
      </c>
      <c r="I157" s="16" t="inlineStr">
        <is>
          <t>Simulacao-Computacional, Eletricidade, Industrial-Servicos, Eficiencia-Energetica</t>
        </is>
      </c>
      <c r="J157" s="16" t="inlineStr">
        <is>
          <t>Simulacao-Computacional</t>
        </is>
      </c>
      <c r="K157" s="16" t="inlineStr">
        <is>
          <t>Eletricidade</t>
        </is>
      </c>
      <c r="L157" s="16" t="inlineStr">
        <is>
          <t>Industrial-Servicos</t>
        </is>
      </c>
      <c r="M157" s="16" t="inlineStr">
        <is>
          <t>Eficiencia-Energetica</t>
        </is>
      </c>
      <c r="N157" s="16" t="n"/>
      <c r="O157" s="16" t="n"/>
      <c r="P157" s="18" t="n"/>
    </row>
    <row r="158" ht="14.25" customHeight="1" s="19">
      <c r="A158" s="18" t="inlineStr">
        <is>
          <t>OK</t>
        </is>
      </c>
      <c r="B158" s="18" t="inlineStr">
        <is>
          <t>Igor</t>
        </is>
      </c>
      <c r="C158" s="16" t="n">
        <v>152</v>
      </c>
      <c r="D158" s="16" t="inlineStr">
        <is>
          <t>2018</t>
        </is>
      </c>
      <c r="E158" s="16" t="inlineStr">
        <is>
          <t>Application of stormwater collected from porous asphalt pavements for non-potable uses in buildings</t>
        </is>
      </c>
      <c r="F158" s="16" t="inlineStr">
        <is>
          <t>HAMMES, G.; THIVES, L.P.; GHISI, E.</t>
        </is>
      </c>
      <c r="G158" s="16" t="inlineStr">
        <is>
          <t>JOURNAL OF ENVIRONMENTAL MANAGEMENT, v. 222, p. 338-347, 2018. Citações:36|39</t>
        </is>
      </c>
      <c r="H158" s="14" t="inlineStr">
        <is>
          <t>http://dx.doi.org/10.1016/j.jenvman.2018.05.094</t>
        </is>
      </c>
      <c r="I158" s="16" t="inlineStr">
        <is>
          <t>Pavimento-Permeavel, Agua-Pluvial, Aproveitamento-agua-chuva, Escola-Universidade, Estudo-Campo</t>
        </is>
      </c>
      <c r="J158" s="16" t="inlineStr">
        <is>
          <t>Pavimento-Permeavel</t>
        </is>
      </c>
      <c r="K158" s="16" t="inlineStr">
        <is>
          <t>Agua-Pluvial</t>
        </is>
      </c>
      <c r="L158" s="16" t="inlineStr">
        <is>
          <t>Aproveitamento-agua-chuva</t>
        </is>
      </c>
      <c r="M158" s="16" t="inlineStr">
        <is>
          <t>Escola-Universidade</t>
        </is>
      </c>
      <c r="N158" s="16" t="inlineStr">
        <is>
          <t>Estudo-Campo</t>
        </is>
      </c>
      <c r="O158" s="16" t="n"/>
      <c r="P158" s="18" t="n"/>
    </row>
    <row r="159" ht="14.25" customHeight="1" s="19">
      <c r="A159" s="18" t="inlineStr">
        <is>
          <t>OK</t>
        </is>
      </c>
      <c r="B159" s="18" t="inlineStr">
        <is>
          <t>Igor</t>
        </is>
      </c>
      <c r="C159" s="16" t="n">
        <v>153</v>
      </c>
      <c r="D159" s="16" t="inlineStr">
        <is>
          <t>2018</t>
        </is>
      </c>
      <c r="E159" s="16" t="inlineStr">
        <is>
          <t>A review of occupant behaviour in residential buildings</t>
        </is>
      </c>
      <c r="F159" s="16" t="inlineStr">
        <is>
          <t>BALVEDI, B. F.; GHISI, E.; LAMBERTS, Roberto</t>
        </is>
      </c>
      <c r="G159" s="16" t="inlineStr">
        <is>
          <t>ENERGY AND BUILDINGS, v. 174, p. 495-505, 2018</t>
        </is>
      </c>
      <c r="H159" s="14" t="inlineStr">
        <is>
          <t>http://dx.doi.org/10.1016/j.enbuild.2018.06.049</t>
        </is>
      </c>
      <c r="I159" s="16" t="inlineStr">
        <is>
          <t>Comportamento-Usuario, Residencial-Unifamiliar, Revisao-Literatura</t>
        </is>
      </c>
      <c r="J159" s="16" t="inlineStr">
        <is>
          <t>Comportamento-Usuario</t>
        </is>
      </c>
      <c r="K159" s="16" t="inlineStr">
        <is>
          <t>Residencial-Unifamiliar</t>
        </is>
      </c>
      <c r="L159" s="16" t="inlineStr">
        <is>
          <t>Revisao-Literatura</t>
        </is>
      </c>
      <c r="M159" s="16" t="n"/>
      <c r="N159" s="16" t="n"/>
      <c r="O159" s="16" t="n"/>
      <c r="P159" s="18" t="n"/>
    </row>
    <row r="160" ht="14.25" customHeight="1" s="19">
      <c r="A160" s="18" t="inlineStr">
        <is>
          <t>OK</t>
        </is>
      </c>
      <c r="B160" s="18" t="inlineStr">
        <is>
          <t>Igor</t>
        </is>
      </c>
      <c r="C160" s="16" t="n">
        <v>154</v>
      </c>
      <c r="D160" s="16" t="inlineStr">
        <is>
          <t>2018</t>
        </is>
      </c>
      <c r="E160" s="16" t="inlineStr">
        <is>
          <t>Impact of Rainwater Harvesting on the Drainage System: Case Study of a Condominium of Houses in Curitiba, Southern Brazil</t>
        </is>
      </c>
      <c r="F160" s="16" t="inlineStr">
        <is>
          <t>TESTON, A.; TEIXEIRA, C. A.; GHISI, E.; CARDOSO, E. B.</t>
        </is>
      </c>
      <c r="G160" s="16" t="inlineStr">
        <is>
          <t>Water, v. 10, p. 1100, 2018</t>
        </is>
      </c>
      <c r="H160" s="14" t="inlineStr">
        <is>
          <t>http://dx.doi.org/10.3390/w10081100</t>
        </is>
      </c>
      <c r="I160" s="16" t="inlineStr">
        <is>
          <t>Agua-Pluvial, Residencial-Unifamiliar, Aproveitamento-agua-chuva</t>
        </is>
      </c>
      <c r="J160" s="16" t="inlineStr">
        <is>
          <t>Agua-Pluvial</t>
        </is>
      </c>
      <c r="K160" s="16" t="inlineStr">
        <is>
          <t>Residencial-Unifamiliar</t>
        </is>
      </c>
      <c r="L160" s="16" t="inlineStr">
        <is>
          <t>Aproveitamento-agua-chuva</t>
        </is>
      </c>
      <c r="M160" s="16" t="n"/>
      <c r="N160" s="16" t="n"/>
      <c r="O160" s="16" t="n"/>
      <c r="P160" s="18" t="n"/>
    </row>
    <row r="161" ht="14.25" customHeight="1" s="19">
      <c r="A161" s="18" t="inlineStr">
        <is>
          <t>OK</t>
        </is>
      </c>
      <c r="B161" s="18" t="inlineStr">
        <is>
          <t>Igor</t>
        </is>
      </c>
      <c r="C161" s="16" t="n">
        <v>155</v>
      </c>
      <c r="D161" s="16" t="inlineStr">
        <is>
          <t>2018</t>
        </is>
      </c>
      <c r="E161" s="16" t="inlineStr">
        <is>
          <t>A field study about gender and thermal comfort temperatures in office buildings</t>
        </is>
      </c>
      <c r="F161" s="16" t="inlineStr">
        <is>
          <t>MAYKOT, J. K.; RUPP, R.F.; GHISI, E.</t>
        </is>
      </c>
      <c r="G161" s="16" t="inlineStr">
        <is>
          <t>ENERGY AND BUILDINGS, v. 178, p. 254-264, 2018</t>
        </is>
      </c>
      <c r="H161" s="14" t="inlineStr">
        <is>
          <t>http://dx.doi.org/10.1016/j.enbuild.2018.08.033</t>
        </is>
      </c>
      <c r="I161" s="16" t="inlineStr">
        <is>
          <t>Demografia-Usuario, Conforto-Termico, Comercial-Escritorio, Estudo-Campo</t>
        </is>
      </c>
      <c r="J161" s="16" t="inlineStr">
        <is>
          <t>Demografia-Usuario</t>
        </is>
      </c>
      <c r="K161" s="16" t="inlineStr">
        <is>
          <t>Conforto-Termico</t>
        </is>
      </c>
      <c r="L161" s="16" t="inlineStr">
        <is>
          <t>Comercial-Escritorio</t>
        </is>
      </c>
      <c r="M161" s="16" t="inlineStr">
        <is>
          <t>Estudo-Campo</t>
        </is>
      </c>
      <c r="N161" s="16" t="n"/>
      <c r="O161" s="16" t="n"/>
      <c r="P161" s="18" t="n"/>
    </row>
    <row r="162" ht="14.25" customHeight="1" s="19">
      <c r="A162" s="18" t="inlineStr">
        <is>
          <t>OK</t>
        </is>
      </c>
      <c r="B162" s="18" t="inlineStr">
        <is>
          <t xml:space="preserve">Priscila </t>
        </is>
      </c>
      <c r="C162" s="16" t="n">
        <v>156</v>
      </c>
      <c r="D162" s="16" t="inlineStr">
        <is>
          <t>2018</t>
        </is>
      </c>
      <c r="E162" s="16" t="inlineStr">
        <is>
          <t>Permeable Pavements Life Cycle Assessment: A Literature Review</t>
        </is>
      </c>
      <c r="F162" s="16" t="inlineStr">
        <is>
          <t>ANTUNES, L. N.; GHISI, E.; THIVES, L.P.</t>
        </is>
      </c>
      <c r="G162" s="16" t="inlineStr">
        <is>
          <t>Water, v. 10, p. 1575--, 2018</t>
        </is>
      </c>
      <c r="H162" s="14" t="inlineStr">
        <is>
          <t>http://dx.doi.org/10.3390/w10111575</t>
        </is>
      </c>
      <c r="I162" s="16" t="inlineStr">
        <is>
          <t>ACV, Pavimento-Permeavel, Revisao-Literatura, Agua-Pluvial</t>
        </is>
      </c>
      <c r="J162" s="16" t="inlineStr">
        <is>
          <t>ACV</t>
        </is>
      </c>
      <c r="K162" s="16" t="inlineStr">
        <is>
          <t>Pavimento-Permeavel</t>
        </is>
      </c>
      <c r="L162" s="16" t="inlineStr">
        <is>
          <t>Revisao-Literatura</t>
        </is>
      </c>
      <c r="M162" s="16" t="inlineStr">
        <is>
          <t>Agua-Pluvial</t>
        </is>
      </c>
      <c r="N162" s="16" t="n"/>
      <c r="O162" s="16" t="n"/>
      <c r="P162" s="18" t="n"/>
    </row>
    <row r="163" ht="14.25" customHeight="1" s="19">
      <c r="A163" s="18" t="inlineStr">
        <is>
          <t>OK</t>
        </is>
      </c>
      <c r="B163" s="18" t="inlineStr">
        <is>
          <t xml:space="preserve">Priscila </t>
        </is>
      </c>
      <c r="C163" s="16" t="n">
        <v>157</v>
      </c>
      <c r="D163" s="16" t="inlineStr">
        <is>
          <t>2018</t>
        </is>
      </c>
      <c r="E163" s="16" t="inlineStr">
        <is>
          <t>Energy consumption in the life cycle of plumbing fixtures</t>
        </is>
      </c>
      <c r="F163" s="16" t="inlineStr">
        <is>
          <t>KALBUSCH, A.; GHISI, E.</t>
        </is>
      </c>
      <c r="G163" s="16" t="inlineStr">
        <is>
          <t>Water Science and Technology-Water Supply, v. 19, p. ws2018053, 2018</t>
        </is>
      </c>
      <c r="H163" s="14" t="inlineStr">
        <is>
          <t>http://dx.doi.org/10.2166/ws.2018.053</t>
        </is>
      </c>
      <c r="I163" s="16" t="inlineStr">
        <is>
          <t>ACV, Eletricidade, Equipamento-Hidrossanitario, Escola-Universidade</t>
        </is>
      </c>
      <c r="J163" s="16" t="inlineStr">
        <is>
          <t>ACV</t>
        </is>
      </c>
      <c r="K163" s="16" t="inlineStr">
        <is>
          <t>Eletricidade</t>
        </is>
      </c>
      <c r="L163" s="16" t="inlineStr">
        <is>
          <t>Equipamento-Hidrossanitario</t>
        </is>
      </c>
      <c r="M163" s="16" t="inlineStr">
        <is>
          <t>Escola-Universidade</t>
        </is>
      </c>
      <c r="N163" s="16" t="n"/>
      <c r="O163" s="16" t="n"/>
      <c r="P163" s="18" t="n"/>
    </row>
    <row r="164" ht="14.25" customHeight="1" s="19">
      <c r="A164" s="18" t="inlineStr">
        <is>
          <t>OK</t>
        </is>
      </c>
      <c r="B164" s="18" t="inlineStr">
        <is>
          <t xml:space="preserve">Priscila </t>
        </is>
      </c>
      <c r="C164" s="16" t="n">
        <v>158</v>
      </c>
      <c r="D164" s="16" t="inlineStr">
        <is>
          <t>2018</t>
        </is>
      </c>
      <c r="E164" s="16" t="inlineStr">
        <is>
          <t>Evaluation of Water Heating Systems Through Life Cycle Assessment</t>
        </is>
      </c>
      <c r="F164" s="16" t="inlineStr">
        <is>
          <t>VECHI, MARCEL; Ghisi, Enedir</t>
        </is>
      </c>
      <c r="G164" s="16" t="inlineStr">
        <is>
          <t>EUROPEAN JOURNAL OF SUSTAINABLE DEVELOPMENT, v. 7, p. 131-142, 2018</t>
        </is>
      </c>
      <c r="H164" s="14" t="inlineStr">
        <is>
          <t>http://dx.doi.org/10.14207/ejsd.2018.v7n3p131</t>
        </is>
      </c>
      <c r="I164" s="16" t="inlineStr">
        <is>
          <t>ACV, Aquecimento-Agua, Residencial-Unifamiliar, Residencial-Multifamiliar, Emissoes-Carbono</t>
        </is>
      </c>
      <c r="J164" s="16" t="inlineStr">
        <is>
          <t>ACV</t>
        </is>
      </c>
      <c r="K164" s="16" t="inlineStr">
        <is>
          <t>Aquecimento-Agua</t>
        </is>
      </c>
      <c r="L164" s="16" t="inlineStr">
        <is>
          <t>Residencial-Unifamiliar</t>
        </is>
      </c>
      <c r="M164" s="16" t="inlineStr">
        <is>
          <t>Residencial-Multifamiliar</t>
        </is>
      </c>
      <c r="N164" s="16" t="inlineStr">
        <is>
          <t>Emissoes-Carbono</t>
        </is>
      </c>
      <c r="O164" s="16" t="n"/>
      <c r="P164" s="18" t="n"/>
    </row>
    <row r="165" ht="14.25" customHeight="1" s="19">
      <c r="A165" s="18" t="inlineStr">
        <is>
          <t>OK</t>
        </is>
      </c>
      <c r="B165" s="18" t="inlineStr">
        <is>
          <t xml:space="preserve">Priscila </t>
        </is>
      </c>
      <c r="C165" s="16" t="n">
        <v>159</v>
      </c>
      <c r="D165" s="16" t="inlineStr">
        <is>
          <t>2018</t>
        </is>
      </c>
      <c r="E165" s="16" t="inlineStr">
        <is>
          <t>Potable Water Savings in Multifamily Buildings Using Stormwater Runoff from Impermeable Paved Streets</t>
        </is>
      </c>
      <c r="F165" s="16" t="inlineStr">
        <is>
          <t>THIVES, LISEANE PADILHA; Ghisi, Enedir; DA SILVA, NATÁLIA MATTOS</t>
        </is>
      </c>
      <c r="G165" s="16" t="inlineStr">
        <is>
          <t>EUROPEAN JOURNAL OF SUSTAINABLE DEVELOPMENT, v. 7, p. 120-130, 2018</t>
        </is>
      </c>
      <c r="H165" s="14" t="inlineStr">
        <is>
          <t>http://dx.doi.org/10.14207/ejsd.2018.v7n3p120</t>
        </is>
      </c>
      <c r="I165" s="16" t="inlineStr">
        <is>
          <t>Agua-Potavel, Agua-Pluvial, Residencial-Multifamiliar, Simulacao-Computacional, Aproveitamento-agua-chuva</t>
        </is>
      </c>
      <c r="J165" s="16" t="inlineStr">
        <is>
          <t>Agua-Potavel</t>
        </is>
      </c>
      <c r="K165" s="16" t="inlineStr">
        <is>
          <t>Agua-Pluvial</t>
        </is>
      </c>
      <c r="L165" s="16" t="inlineStr">
        <is>
          <t>Residencial-Multifamiliar</t>
        </is>
      </c>
      <c r="M165" s="16" t="inlineStr">
        <is>
          <t>Simulacao-Computacional</t>
        </is>
      </c>
      <c r="N165" s="16" t="inlineStr">
        <is>
          <t>Aproveitamento-agua-chuva</t>
        </is>
      </c>
      <c r="O165" s="16" t="n"/>
      <c r="P165" s="18" t="n"/>
    </row>
    <row r="166" ht="14.25" customHeight="1" s="19">
      <c r="A166" s="18" t="inlineStr">
        <is>
          <t>OK</t>
        </is>
      </c>
      <c r="B166" s="18" t="inlineStr">
        <is>
          <t xml:space="preserve">Priscila </t>
        </is>
      </c>
      <c r="C166" s="16" t="n">
        <v>160</v>
      </c>
      <c r="D166" s="16" t="inlineStr">
        <is>
          <t>2017</t>
        </is>
      </c>
      <c r="E166" s="16" t="inlineStr">
        <is>
          <t>Análise de incertezas físicas em simulação computacional de edificações residenciais</t>
        </is>
      </c>
      <c r="F166" s="16" t="inlineStr">
        <is>
          <t>SILVA, A. S.; ALMEIDA, L. S. S.; GHISI, E.</t>
        </is>
      </c>
      <c r="G166" s="16" t="inlineStr">
        <is>
          <t>Ambiente Construído (Online), v. 17, p. 289-303, 2017</t>
        </is>
      </c>
      <c r="H166" s="14" t="inlineStr">
        <is>
          <t>http://dx.doi.org/10.1590/s1678-86212017000100136</t>
        </is>
      </c>
      <c r="I166" s="16" t="inlineStr">
        <is>
          <t>Simulacao-Computacional, Residencial-Unifamiliar, Conforto-Termico, Desempenho-Termico, Analise-Incerteza</t>
        </is>
      </c>
      <c r="J166" s="16" t="inlineStr">
        <is>
          <t>Simulacao-Computacional</t>
        </is>
      </c>
      <c r="K166" s="16" t="inlineStr">
        <is>
          <t>Residencial-Unifamiliar</t>
        </is>
      </c>
      <c r="L166" s="16" t="inlineStr">
        <is>
          <t>Conforto-Termico</t>
        </is>
      </c>
      <c r="M166" s="16" t="inlineStr">
        <is>
          <t>Desempenho-Termico</t>
        </is>
      </c>
      <c r="N166" s="16" t="inlineStr">
        <is>
          <t>Analise-Incerteza</t>
        </is>
      </c>
      <c r="O166" s="16" t="n"/>
      <c r="P166" s="18" t="n"/>
    </row>
    <row r="167" ht="14.25" customHeight="1" s="19">
      <c r="A167" s="18" t="inlineStr">
        <is>
          <t>OK</t>
        </is>
      </c>
      <c r="B167" s="18" t="inlineStr">
        <is>
          <t xml:space="preserve">Priscila </t>
        </is>
      </c>
      <c r="C167" s="16" t="n">
        <v>161</v>
      </c>
      <c r="D167" s="16" t="inlineStr">
        <is>
          <t>2017</t>
        </is>
      </c>
      <c r="E167" s="16" t="inlineStr">
        <is>
          <t>Avaliação experimental do espectrômetro Alta II e sua aplicação na normatização brasileira</t>
        </is>
      </c>
      <c r="F167" s="16" t="inlineStr">
        <is>
          <t>PEREIRA, Cláudia Donald; MARINOSKI, Deivis L; LAMBERTS, Roberto; GÜTHS, Saulo; GHISI, E.</t>
        </is>
      </c>
      <c r="G167" s="16" t="inlineStr">
        <is>
          <t>AMBIENTE CONSTRUÍDO (ONLINE), v. 17, p. 197-213, 2017</t>
        </is>
      </c>
      <c r="H167" s="14" t="inlineStr">
        <is>
          <t>http://dx.doi.org/10.1590/s1678-86212017000400193</t>
        </is>
      </c>
      <c r="I167" s="16" t="inlineStr">
        <is>
          <t>Analise-Incerteza, Iluminacao, Estudo-Campo</t>
        </is>
      </c>
      <c r="J167" s="16" t="inlineStr">
        <is>
          <t>Analise-Incerteza</t>
        </is>
      </c>
      <c r="K167" s="16" t="inlineStr">
        <is>
          <t>Iluminacao</t>
        </is>
      </c>
      <c r="L167" s="16" t="inlineStr">
        <is>
          <t>Estudo-Campo</t>
        </is>
      </c>
      <c r="M167" s="16" t="n"/>
      <c r="N167" s="16" t="n"/>
      <c r="O167" s="16" t="n"/>
      <c r="P167" s="18" t="n"/>
    </row>
    <row r="168" ht="13.5" customHeight="1" s="19">
      <c r="A168" s="18" t="inlineStr">
        <is>
          <t>OK</t>
        </is>
      </c>
      <c r="B168" s="18" t="inlineStr">
        <is>
          <t xml:space="preserve">Priscila </t>
        </is>
      </c>
      <c r="C168" s="16" t="n">
        <v>162</v>
      </c>
      <c r="D168" s="16" t="inlineStr">
        <is>
          <t>2017</t>
        </is>
      </c>
      <c r="E168" s="16" t="inlineStr">
        <is>
          <t>Conforto térmico humano em escritórios com sistema central de condicionamento artificial em clima subtropical úmido: estudos de campo vs. abordagem analítica</t>
        </is>
      </c>
      <c r="F168" s="16" t="inlineStr">
        <is>
          <t>RUPP, R.F.; VECCHI, R.; ASMUS, B.; CANDIDO, C.; GHISI, E.</t>
        </is>
      </c>
      <c r="G168" s="16" t="inlineStr">
        <is>
          <t>Ambiente Construído (Online), v. 17, p. 111-123, 2017</t>
        </is>
      </c>
      <c r="H168" s="14" t="inlineStr">
        <is>
          <t>http://dx.doi.org/10.1590/s1678-86212017000100127</t>
        </is>
      </c>
      <c r="I168" s="16" t="inlineStr">
        <is>
          <t>Conforto-Termico, Comercial-Escritorio, Estudo-Campo</t>
        </is>
      </c>
      <c r="J168" s="16" t="inlineStr">
        <is>
          <t>Conforto-Termico</t>
        </is>
      </c>
      <c r="K168" s="16" t="inlineStr">
        <is>
          <t>Comercial-Escritorio</t>
        </is>
      </c>
      <c r="L168" s="16" t="inlineStr">
        <is>
          <t>Estudo-Campo</t>
        </is>
      </c>
      <c r="M168" s="16" t="n"/>
      <c r="N168" s="16" t="n"/>
      <c r="O168" s="16" t="n"/>
      <c r="P168" s="18" t="n"/>
    </row>
    <row r="169" ht="14.25" customHeight="1" s="19">
      <c r="A169" s="18" t="inlineStr">
        <is>
          <t>OK</t>
        </is>
      </c>
      <c r="B169" s="18" t="inlineStr">
        <is>
          <t xml:space="preserve">Priscila </t>
        </is>
      </c>
      <c r="C169" s="16" t="n">
        <v>163</v>
      </c>
      <c r="D169" s="16" t="inlineStr">
        <is>
          <t>2017</t>
        </is>
      </c>
      <c r="E169" s="16" t="inlineStr">
        <is>
          <t>Estudo comparativo da qualidade da água da chuva coletada em telhado com telhas de concreto e em telhado verde para usos não potáveis</t>
        </is>
      </c>
      <c r="F169" s="16" t="inlineStr">
        <is>
          <t>TEIXEIRA, C. A.; BUDEL, M. A.; CARVALHO, K. Q.; BEZERRA, S. M. C.; GHISI, E.</t>
        </is>
      </c>
      <c r="G169" s="16" t="inlineStr">
        <is>
          <t>Ambiente Construído (Online), v. 17, p. 135-155, 2017</t>
        </is>
      </c>
      <c r="H169" s="14" t="inlineStr">
        <is>
          <t>http://dx.doi.org/10.1590/s1678-86212017000200150</t>
        </is>
      </c>
      <c r="I169" s="16" t="inlineStr">
        <is>
          <t>Agua-Pluvial, Telhado-Verde, Aproveitamento-agua-chuva, Qualidade-Agua</t>
        </is>
      </c>
      <c r="J169" s="16" t="inlineStr">
        <is>
          <t>Agua-Pluvial</t>
        </is>
      </c>
      <c r="K169" s="16" t="inlineStr">
        <is>
          <t>Telhado-Verde</t>
        </is>
      </c>
      <c r="L169" s="16" t="inlineStr">
        <is>
          <t>Aproveitamento-agua-chuva</t>
        </is>
      </c>
      <c r="M169" s="16" t="inlineStr">
        <is>
          <t>Qualidade-Agua</t>
        </is>
      </c>
      <c r="N169" s="16" t="n"/>
      <c r="O169" s="16" t="n"/>
      <c r="P169" s="18" t="n"/>
    </row>
    <row r="170" ht="14.25" customHeight="1" s="19">
      <c r="A170" s="18" t="inlineStr">
        <is>
          <t>OK</t>
        </is>
      </c>
      <c r="B170" s="18" t="inlineStr">
        <is>
          <t xml:space="preserve">Priscila </t>
        </is>
      </c>
      <c r="C170" s="16" t="n">
        <v>164</v>
      </c>
      <c r="D170" s="16" t="inlineStr">
        <is>
          <t>2017</t>
        </is>
      </c>
      <c r="E170" s="16" t="inlineStr">
        <is>
          <t>Assessment of Light Emitting Diodes technology for general lighting: A critical review</t>
        </is>
      </c>
      <c r="F170" s="16" t="inlineStr">
        <is>
          <t>NARDELLI, A.; DEUSCHLE, E.; AZEVEDO, L. D.; PESSOA, J. L. N.; GHISI, E.</t>
        </is>
      </c>
      <c r="G170" s="16" t="inlineStr">
        <is>
          <t>RENEWABLE &amp; SUSTAINABLE ENERGY REVIEWS, v. 75, p. 368-379, 2017</t>
        </is>
      </c>
      <c r="H170" s="14" t="inlineStr">
        <is>
          <t>http://dx.doi.org/10.1016/j.rser.2016.11.002</t>
        </is>
      </c>
      <c r="I170" s="16" t="inlineStr">
        <is>
          <t>Iluminacao, Revisao-Literatura, Eficiencia-Energetica</t>
        </is>
      </c>
      <c r="J170" s="16" t="inlineStr">
        <is>
          <t>Iluminacao</t>
        </is>
      </c>
      <c r="K170" s="16" t="inlineStr">
        <is>
          <t>Revisao-Literatura</t>
        </is>
      </c>
      <c r="L170" s="16" t="inlineStr">
        <is>
          <t>Eficiencia-Energetica</t>
        </is>
      </c>
      <c r="M170" s="16" t="n"/>
      <c r="N170" s="16" t="n"/>
      <c r="O170" s="16" t="n"/>
      <c r="P170" s="18" t="n"/>
    </row>
    <row r="171" ht="14.25" customHeight="1" s="19">
      <c r="A171" s="18" t="inlineStr">
        <is>
          <t>OK</t>
        </is>
      </c>
      <c r="B171" s="18" t="inlineStr">
        <is>
          <t xml:space="preserve">Priscila </t>
        </is>
      </c>
      <c r="C171" s="16" t="n">
        <v>165</v>
      </c>
      <c r="D171" s="16" t="inlineStr">
        <is>
          <t>2017</t>
        </is>
      </c>
      <c r="E171" s="16" t="inlineStr">
        <is>
          <t>Asphalt mixtures emission and energy consumption: A review</t>
        </is>
      </c>
      <c r="F171" s="16" t="inlineStr">
        <is>
          <t>THIVES, L.P.; GHISI, E.</t>
        </is>
      </c>
      <c r="G171" s="16" t="inlineStr">
        <is>
          <t>Renewable &amp; Sustainable Energy Reviews, v. 72, p. 473-484, 2017</t>
        </is>
      </c>
      <c r="H171" s="14" t="inlineStr">
        <is>
          <t>http://dx.doi.org/10.1016/j.rser.2017.01.087</t>
        </is>
      </c>
      <c r="I171" s="16" t="inlineStr">
        <is>
          <t>ACV, Emissoes-Carbono, Revisao-Literatura</t>
        </is>
      </c>
      <c r="J171" s="16" t="inlineStr">
        <is>
          <t>ACV</t>
        </is>
      </c>
      <c r="K171" s="16" t="inlineStr">
        <is>
          <t>Emissoes-Carbono</t>
        </is>
      </c>
      <c r="L171" s="16" t="inlineStr">
        <is>
          <t>Revisao-Literatura</t>
        </is>
      </c>
      <c r="M171" s="16" t="n"/>
      <c r="N171" s="16" t="n"/>
      <c r="O171" s="16" t="n"/>
      <c r="P171" s="18" t="n"/>
    </row>
    <row r="172" ht="14.25" customHeight="1" s="19">
      <c r="A172" s="18" t="inlineStr">
        <is>
          <t>OK</t>
        </is>
      </c>
      <c r="B172" s="18" t="inlineStr">
        <is>
          <t xml:space="preserve">Priscila </t>
        </is>
      </c>
      <c r="C172" s="16" t="n">
        <v>166</v>
      </c>
      <c r="D172" s="16" t="inlineStr">
        <is>
          <t>2017</t>
        </is>
      </c>
      <c r="E172" s="16" t="inlineStr">
        <is>
          <t>Urban rainwater harvesting systems: Research, implementation and future perspectives</t>
        </is>
      </c>
      <c r="F172" s="16" t="inlineStr">
        <is>
          <t>CAMPISANO, A.; BUTLER, D.; WARD, S.; BURNS, M. J.; FRIEDLER, E.; DEBUSK, K.; FISHER-JEFFES, L. N.; GHISI, E.; RAHMAN, A.; FURUMAI, H.; HAN, M.</t>
        </is>
      </c>
      <c r="G172" s="16" t="inlineStr">
        <is>
          <t>Water Research (Oxford), v. 115, p. 195-209, 2017</t>
        </is>
      </c>
      <c r="H172" s="14" t="inlineStr">
        <is>
          <t>http://dx.doi.org/10.1016/j.watres.2017.02.056</t>
        </is>
      </c>
      <c r="I172" s="16" t="inlineStr">
        <is>
          <t>Agua-Pluvial, Escala-Urbana, Revisao-Literatura</t>
        </is>
      </c>
      <c r="J172" s="16" t="inlineStr">
        <is>
          <t>Agua-Pluvial</t>
        </is>
      </c>
      <c r="K172" s="16" t="inlineStr">
        <is>
          <t>Escala-Urbana</t>
        </is>
      </c>
      <c r="L172" s="16" t="inlineStr">
        <is>
          <t>Revisao-Literatura</t>
        </is>
      </c>
      <c r="M172" s="16" t="n"/>
      <c r="N172" s="16" t="n"/>
      <c r="O172" s="16" t="n"/>
      <c r="P172" s="18" t="n"/>
    </row>
    <row r="173" ht="14.25" customHeight="1" s="19">
      <c r="A173" s="18" t="inlineStr">
        <is>
          <t>OK</t>
        </is>
      </c>
      <c r="B173" s="18" t="inlineStr">
        <is>
          <t xml:space="preserve">Priscila </t>
        </is>
      </c>
      <c r="C173" s="16" t="n">
        <v>167</v>
      </c>
      <c r="D173" s="16" t="inlineStr">
        <is>
          <t>2017</t>
        </is>
      </c>
      <c r="E173" s="16" t="inlineStr">
        <is>
          <t>Predicting thermal comfort in office buildings in a Brazilian temperate and humid climate</t>
        </is>
      </c>
      <c r="F173" s="16" t="inlineStr">
        <is>
          <t>RUPP, R.F.; GHISI, E.</t>
        </is>
      </c>
      <c r="G173" s="16" t="inlineStr">
        <is>
          <t>Energy and Buildings, v. 144, p. 152-166, 2017</t>
        </is>
      </c>
      <c r="H173" s="14" t="inlineStr">
        <is>
          <t>http://dx.doi.org/10.1016/j.enbuild.2017.03.039</t>
        </is>
      </c>
      <c r="I173" s="16" t="inlineStr">
        <is>
          <t>Conforto-Termico, Comercial-Escritorio, Estudo-Campo</t>
        </is>
      </c>
      <c r="J173" s="16" t="inlineStr">
        <is>
          <t>Conforto-Termico</t>
        </is>
      </c>
      <c r="K173" s="16" t="inlineStr">
        <is>
          <t>Comercial-Escritorio</t>
        </is>
      </c>
      <c r="L173" s="16" t="inlineStr">
        <is>
          <t>Estudo-Campo</t>
        </is>
      </c>
      <c r="M173" s="16" t="n"/>
      <c r="N173" s="16" t="n"/>
      <c r="O173" s="16" t="n"/>
      <c r="P173" s="18" t="n"/>
    </row>
    <row r="174" ht="14.25" customHeight="1" s="19">
      <c r="A174" s="18" t="inlineStr">
        <is>
          <t>OK</t>
        </is>
      </c>
      <c r="B174" s="18" t="inlineStr">
        <is>
          <t xml:space="preserve">Priscila </t>
        </is>
      </c>
      <c r="C174" s="16" t="n">
        <v>168</v>
      </c>
      <c r="D174" s="16" t="inlineStr">
        <is>
          <t>2017</t>
        </is>
      </c>
      <c r="E174" s="16" t="inlineStr">
        <is>
          <t>Assessing window area and potential for electricity savings by using daylighting and hybrid ventilation in office buildings in southern Brazil</t>
        </is>
      </c>
      <c r="F174" s="16" t="inlineStr">
        <is>
          <t>RUPP, R.F.; GHISI, E.</t>
        </is>
      </c>
      <c r="G174" s="16" t="inlineStr">
        <is>
          <t>SIMULATION-TRANSACTIONS OF THE SOCIETY FOR MODELING AND SIMULATION INTERNATIONAL, v. 93, p. 003754971770617-15, 2017</t>
        </is>
      </c>
      <c r="H174" s="14" t="inlineStr">
        <is>
          <t>http://dx.doi.org/10.1177/0037549717706171</t>
        </is>
      </c>
      <c r="I174" s="16" t="inlineStr">
        <is>
          <t>Ventilacao, Iluminacao, Eletricidade, Comercial-Escritorio, Simulacao-Computacional, Vidros-E-Janelas, Eficiencia-Energetica</t>
        </is>
      </c>
      <c r="J174" s="16" t="inlineStr">
        <is>
          <t>Ventilacao</t>
        </is>
      </c>
      <c r="K174" s="16" t="inlineStr">
        <is>
          <t>Iluminacao</t>
        </is>
      </c>
      <c r="L174" s="16" t="inlineStr">
        <is>
          <t>Eletricidade</t>
        </is>
      </c>
      <c r="M174" s="16" t="inlineStr">
        <is>
          <t>Comercial-Escritorio</t>
        </is>
      </c>
      <c r="N174" s="16" t="inlineStr">
        <is>
          <t>Simulacao-Computacional</t>
        </is>
      </c>
      <c r="O174" s="16" t="inlineStr">
        <is>
          <t>Vidros-E-Janelas</t>
        </is>
      </c>
      <c r="P174" s="18" t="inlineStr">
        <is>
          <t>Eficiencia-Energetica</t>
        </is>
      </c>
    </row>
    <row r="175" ht="14.25" customHeight="1" s="19">
      <c r="A175" s="18" t="inlineStr">
        <is>
          <t>OK</t>
        </is>
      </c>
      <c r="B175" s="18" t="inlineStr">
        <is>
          <t xml:space="preserve">Priscila </t>
        </is>
      </c>
      <c r="C175" s="16" t="n">
        <v>169</v>
      </c>
      <c r="D175" s="16" t="inlineStr">
        <is>
          <t>2017</t>
        </is>
      </c>
      <c r="E175" s="16" t="inlineStr">
        <is>
          <t>Influence of the length of rainfall time series on rainwater harvesting systems: A case study in Berlin</t>
        </is>
      </c>
      <c r="F175" s="16" t="inlineStr">
        <is>
          <t>GERALDI, M. S.; GHISI, E.</t>
        </is>
      </c>
      <c r="G175" s="16" t="inlineStr">
        <is>
          <t>RESOURCES CONSERVATION AND RECYCLING, v. 125, p. 169-180, 2017</t>
        </is>
      </c>
      <c r="H175" s="14" t="inlineStr">
        <is>
          <t>http://dx.doi.org/10.1016/j.resconrec.2017.06.011</t>
        </is>
      </c>
      <c r="I175" s="16" t="inlineStr">
        <is>
          <t>Agua-Pluvial, Simulacao-Computacional, Residencial-Unifamiliar, Precipitacao, Aproveitamento-agua-chuva</t>
        </is>
      </c>
      <c r="J175" s="16" t="inlineStr">
        <is>
          <t>Agua-Pluvial</t>
        </is>
      </c>
      <c r="K175" s="16" t="inlineStr">
        <is>
          <t>Simulacao-Computacional</t>
        </is>
      </c>
      <c r="L175" s="16" t="inlineStr">
        <is>
          <t>Residencial-Unifamiliar</t>
        </is>
      </c>
      <c r="M175" s="16" t="inlineStr">
        <is>
          <t>Precipitacao</t>
        </is>
      </c>
      <c r="N175" s="16" t="inlineStr">
        <is>
          <t>Aproveitamento-agua-chuva</t>
        </is>
      </c>
      <c r="O175" s="16" t="n"/>
      <c r="P175" s="18" t="n"/>
    </row>
    <row r="176" ht="14.25" customHeight="1" s="19">
      <c r="A176" s="18" t="inlineStr">
        <is>
          <t>OK</t>
        </is>
      </c>
      <c r="B176" s="18" t="inlineStr">
        <is>
          <t xml:space="preserve">Priscila </t>
        </is>
      </c>
      <c r="C176" s="16" t="n">
        <v>170</v>
      </c>
      <c r="D176" s="16" t="inlineStr">
        <is>
          <t>2016</t>
        </is>
      </c>
      <c r="E176" s="16" t="inlineStr">
        <is>
          <t>Water-energy nexus in houses in Brazil: comparing rainwater and gray water use with a centralized system</t>
        </is>
      </c>
      <c r="F176" s="16" t="inlineStr">
        <is>
          <t>VIEIRA, Abel Silva; GHISI, E.</t>
        </is>
      </c>
      <c r="G176" s="16" t="inlineStr">
        <is>
          <t>Water Science and Technology: Water Supply (Print), v. 16, p. 274-283, 2016</t>
        </is>
      </c>
      <c r="H176" s="14" t="inlineStr">
        <is>
          <t>http://dx.doi.org/10.2166/ws.2015.137</t>
        </is>
      </c>
      <c r="I176" s="16" t="inlineStr">
        <is>
          <t>Agua-Pluvial, Agua-Cinza, Eletricidade, Residencial-Unifamiliar, Simulacao-Computacional, Aproveitamento-agua-chuva</t>
        </is>
      </c>
      <c r="J176" s="16" t="inlineStr">
        <is>
          <t>Agua-Pluvial</t>
        </is>
      </c>
      <c r="K176" s="16" t="inlineStr">
        <is>
          <t>Agua-Cinza</t>
        </is>
      </c>
      <c r="L176" s="16" t="inlineStr">
        <is>
          <t>Eletricidade</t>
        </is>
      </c>
      <c r="M176" s="16" t="inlineStr">
        <is>
          <t>Residencial-Unifamiliar</t>
        </is>
      </c>
      <c r="N176" s="16" t="inlineStr">
        <is>
          <t>Simulacao-Computacional</t>
        </is>
      </c>
      <c r="O176" s="16" t="inlineStr">
        <is>
          <t>Aproveitamento-agua-chuva</t>
        </is>
      </c>
      <c r="P176" s="18" t="n"/>
    </row>
    <row r="177" ht="14.25" customHeight="1" s="19">
      <c r="A177" s="18" t="inlineStr">
        <is>
          <t>OK</t>
        </is>
      </c>
      <c r="B177" s="18" t="inlineStr">
        <is>
          <t xml:space="preserve">Priscila </t>
        </is>
      </c>
      <c r="C177" s="16" t="n">
        <v>171</v>
      </c>
      <c r="D177" s="16" t="inlineStr">
        <is>
          <t>2016</t>
        </is>
      </c>
      <c r="E177" s="16" t="inlineStr">
        <is>
          <t>Assessment of the potential for potable water savings by using rainwater in houses in southern Brazil</t>
        </is>
      </c>
      <c r="F177" s="16" t="inlineStr">
        <is>
          <t>LOPES, A. C.; RUPP, R.F.; GHISI, E.</t>
        </is>
      </c>
      <c r="G177" s="16" t="inlineStr">
        <is>
          <t>Water Science and Technology: Water Supply (Print), v. 16, p. 533-541, 2016</t>
        </is>
      </c>
      <c r="H177" s="14" t="inlineStr">
        <is>
          <t>http://dx.doi.org/10.2166/ws.2015.166</t>
        </is>
      </c>
      <c r="I177" s="16" t="inlineStr">
        <is>
          <t>Aproveitamento-agua-chuva, Agua-Pluvial, Simulacao-Computacional</t>
        </is>
      </c>
      <c r="J177" s="16" t="inlineStr">
        <is>
          <t>Aproveitamento-agua-chuva</t>
        </is>
      </c>
      <c r="K177" s="16" t="inlineStr">
        <is>
          <t>Agua-Pluvial</t>
        </is>
      </c>
      <c r="L177" s="16" t="inlineStr">
        <is>
          <t>Simulacao-Computacional</t>
        </is>
      </c>
      <c r="M177" s="16" t="n"/>
      <c r="N177" s="16" t="n"/>
      <c r="O177" s="16" t="n"/>
      <c r="P177" s="18" t="n"/>
    </row>
    <row r="178" ht="14.25" customHeight="1" s="19">
      <c r="A178" s="18" t="inlineStr">
        <is>
          <t>OK</t>
        </is>
      </c>
      <c r="B178" s="18" t="inlineStr">
        <is>
          <t xml:space="preserve">Priscila </t>
        </is>
      </c>
      <c r="C178" s="16" t="n">
        <v>172</v>
      </c>
      <c r="D178" s="16" t="inlineStr">
        <is>
          <t>2016</t>
        </is>
      </c>
      <c r="E178" s="16" t="inlineStr">
        <is>
          <t>Environmental feasibility of heritage buildings rehabilitation</t>
        </is>
      </c>
      <c r="F178" s="16" t="inlineStr">
        <is>
          <t>MUNARIM, Ulisses; Ghisi, Enedir</t>
        </is>
      </c>
      <c r="G178" s="16" t="inlineStr">
        <is>
          <t>Renewable &amp; Sustainable Energy Reviews, v. 58, p. 235-249, 2016</t>
        </is>
      </c>
      <c r="H178" s="14" t="inlineStr">
        <is>
          <t>http://dx.doi.org/10.1016/j.rser.2015.12.334</t>
        </is>
      </c>
      <c r="I178" s="16" t="inlineStr">
        <is>
          <t>ACV, Retrofit, Revisao-Literatura, Eficiencia-Energetica</t>
        </is>
      </c>
      <c r="J178" s="16" t="inlineStr">
        <is>
          <t>ACV</t>
        </is>
      </c>
      <c r="K178" s="16" t="inlineStr">
        <is>
          <t>Retrofit</t>
        </is>
      </c>
      <c r="L178" s="16" t="inlineStr">
        <is>
          <t>Revisao-Literatura</t>
        </is>
      </c>
      <c r="M178" s="18" t="inlineStr">
        <is>
          <t>Eficiencia-Energetica</t>
        </is>
      </c>
      <c r="N178" s="16" t="n"/>
      <c r="O178" s="16" t="n"/>
      <c r="P178" s="18" t="n"/>
    </row>
    <row r="179" ht="14.25" customHeight="1" s="19">
      <c r="A179" s="18" t="inlineStr">
        <is>
          <t>OK</t>
        </is>
      </c>
      <c r="B179" s="18" t="inlineStr">
        <is>
          <t xml:space="preserve">Priscila </t>
        </is>
      </c>
      <c r="C179" s="16" t="n">
        <v>173</v>
      </c>
      <c r="D179" s="16" t="inlineStr">
        <is>
          <t>2016</t>
        </is>
      </c>
      <c r="E179" s="16" t="inlineStr">
        <is>
          <t>Performance evaluation of long-term thermal comfort indices in building simulation according to ashrae standard 55</t>
        </is>
      </c>
      <c r="F179" s="16" t="inlineStr">
        <is>
          <t>SILVA, ARTHUR SANTOS; Ghisi, Enedir; LAMBERTS, Roberto</t>
        </is>
      </c>
      <c r="G179" s="16" t="inlineStr">
        <is>
          <t>Building and Environment, v. 102, p. 95-115, 2016</t>
        </is>
      </c>
      <c r="H179" s="14" t="inlineStr">
        <is>
          <t>http://dx.doi.org/10.1016/j.buildenv.2016.03.004</t>
        </is>
      </c>
      <c r="I179" s="16" t="inlineStr">
        <is>
          <t>Conforto-Termico, Simulacao-Computacional, Analise-Incerteza, Analise-Sensibilidade</t>
        </is>
      </c>
      <c r="J179" s="16" t="inlineStr">
        <is>
          <t>Conforto-Termico</t>
        </is>
      </c>
      <c r="K179" s="16" t="inlineStr">
        <is>
          <t>Simulacao-Computacional</t>
        </is>
      </c>
      <c r="L179" s="16" t="inlineStr">
        <is>
          <t>Analise-Incerteza</t>
        </is>
      </c>
      <c r="M179" s="16" t="inlineStr">
        <is>
          <t>Analise-Sensibilidade</t>
        </is>
      </c>
      <c r="N179" s="16" t="n"/>
      <c r="O179" s="16" t="n"/>
      <c r="P179" s="18" t="n"/>
    </row>
    <row r="180" ht="14.25" customHeight="1" s="19">
      <c r="A180" s="18" t="inlineStr">
        <is>
          <t>OK</t>
        </is>
      </c>
      <c r="B180" s="18" t="inlineStr">
        <is>
          <t xml:space="preserve">Priscila </t>
        </is>
      </c>
      <c r="C180" s="16" t="n">
        <v>174</v>
      </c>
      <c r="D180" s="16" t="inlineStr">
        <is>
          <t>2016</t>
        </is>
      </c>
      <c r="E180" s="16" t="inlineStr">
        <is>
          <t>Potential for Potable Water Savings in Buildings by Using Stormwater Harvested from Porous Pavements</t>
        </is>
      </c>
      <c r="F180" s="16" t="inlineStr">
        <is>
          <t>ANTUNES, L. N.; THIVES, L.P.; GHISI, E.</t>
        </is>
      </c>
      <c r="G180" s="16" t="inlineStr">
        <is>
          <t>Water, v. 8, p. 110, 2016</t>
        </is>
      </c>
      <c r="H180" s="14" t="inlineStr">
        <is>
          <t>http://dx.doi.org/10.3390/w8040110</t>
        </is>
      </c>
      <c r="I180" s="16" t="inlineStr">
        <is>
          <t>Agua-Potavel, Agua-Pluvial, Pavimento-Permeavel, Qualidade-Agua, Simulacao-Computacional, Aproveitamento-agua-chuva</t>
        </is>
      </c>
      <c r="J180" s="16" t="inlineStr">
        <is>
          <t>Agua-Potavel</t>
        </is>
      </c>
      <c r="K180" s="16" t="inlineStr">
        <is>
          <t>Agua-Pluvial</t>
        </is>
      </c>
      <c r="L180" s="16" t="inlineStr">
        <is>
          <t>Pavimento-Permeavel</t>
        </is>
      </c>
      <c r="M180" s="16" t="inlineStr">
        <is>
          <t>Qualidade-Agua</t>
        </is>
      </c>
      <c r="N180" s="16" t="inlineStr">
        <is>
          <t>Simulacao-Computacional</t>
        </is>
      </c>
      <c r="O180" s="16" t="inlineStr">
        <is>
          <t>Aproveitamento-agua-chuva</t>
        </is>
      </c>
      <c r="P180" s="18" t="n"/>
    </row>
    <row r="181" ht="14.25" customHeight="1" s="19">
      <c r="A181" s="18" t="inlineStr">
        <is>
          <t>OK</t>
        </is>
      </c>
      <c r="B181" s="18" t="inlineStr">
        <is>
          <t xml:space="preserve">Priscila </t>
        </is>
      </c>
      <c r="C181" s="16" t="n">
        <v>175</v>
      </c>
      <c r="D181" s="16" t="inlineStr">
        <is>
          <t>2016</t>
        </is>
      </c>
      <c r="E181" s="16" t="inlineStr">
        <is>
          <t>Uncertainty analysis of daily potable water demand on the performance evaluation of rainwater harvesting systems in residential buildings</t>
        </is>
      </c>
      <c r="F181" s="16" t="inlineStr">
        <is>
          <t>SILVA, A. S.; GHISI, E.</t>
        </is>
      </c>
      <c r="G181" s="16" t="inlineStr">
        <is>
          <t>Journal of Environmental Management, v. 180, p. 82-93, 2016</t>
        </is>
      </c>
      <c r="H181" s="14" t="inlineStr">
        <is>
          <t>http://dx.doi.org/10.1016/j.jenvman.2016.05.028</t>
        </is>
      </c>
      <c r="I181" s="16" t="inlineStr">
        <is>
          <t>Agua-Pluvial, Agua-Potavel, Simulacao-Computacional, Analise-Incerteza, Analise-Sensibilidade, Aproveitamento-agua-chuva</t>
        </is>
      </c>
      <c r="J181" s="16" t="inlineStr">
        <is>
          <t>Agua-Pluvial</t>
        </is>
      </c>
      <c r="K181" s="16" t="inlineStr">
        <is>
          <t>Agua-Potavel</t>
        </is>
      </c>
      <c r="L181" s="16" t="inlineStr">
        <is>
          <t>Simulacao-Computacional</t>
        </is>
      </c>
      <c r="M181" s="16" t="inlineStr">
        <is>
          <t>Analise-Incerteza</t>
        </is>
      </c>
      <c r="N181" s="16" t="inlineStr">
        <is>
          <t>Analise-Sensibilidade</t>
        </is>
      </c>
      <c r="O181" s="16" t="inlineStr">
        <is>
          <t>Aproveitamento-agua-chuva</t>
        </is>
      </c>
      <c r="P181" s="18" t="n"/>
    </row>
    <row r="182" ht="14.25" customHeight="1" s="19">
      <c r="A182" s="18" t="inlineStr">
        <is>
          <t>OK</t>
        </is>
      </c>
      <c r="B182" s="18" t="inlineStr">
        <is>
          <t xml:space="preserve">Priscila </t>
        </is>
      </c>
      <c r="C182" s="16" t="n">
        <v>176</v>
      </c>
      <c r="D182" s="16" t="inlineStr">
        <is>
          <t>2016</t>
        </is>
      </c>
      <c r="E182" s="16" t="inlineStr">
        <is>
          <t>Water-energy nexus in low-income houses in Brazil: the influence of integrated on-site water and sewage management strategies on the energy consumption of water and sewerage services</t>
        </is>
      </c>
      <c r="F182" s="16" t="inlineStr">
        <is>
          <t>VIEIRA, Abel Silva; Ghisi, Enedir</t>
        </is>
      </c>
      <c r="G182" s="16" t="inlineStr">
        <is>
          <t>Journal of Cleaner Production, v. 133, p. 145-162, 2016</t>
        </is>
      </c>
      <c r="H182" s="14" t="inlineStr">
        <is>
          <t>http://dx.doi.org/10.1016/j.jclepro.2016.05.104</t>
        </is>
      </c>
      <c r="I182" s="16" t="inlineStr">
        <is>
          <t>Agua-Potavel, Eletricidade, Habitacao-Interesse-Social, Agua-Cinza, Simulacao-Computacional</t>
        </is>
      </c>
      <c r="J182" s="16" t="inlineStr">
        <is>
          <t>Agua-Potavel</t>
        </is>
      </c>
      <c r="K182" s="16" t="inlineStr">
        <is>
          <t>Eletricidade</t>
        </is>
      </c>
      <c r="L182" s="16" t="inlineStr">
        <is>
          <t>Habitacao-Interesse-Social</t>
        </is>
      </c>
      <c r="M182" s="16" t="inlineStr">
        <is>
          <t>Agua-Cinza</t>
        </is>
      </c>
      <c r="N182" s="16" t="inlineStr">
        <is>
          <t>Simulacao-Computacional</t>
        </is>
      </c>
      <c r="O182" s="16" t="n"/>
      <c r="P182" s="18" t="n"/>
    </row>
    <row r="183" ht="14.25" customHeight="1" s="19">
      <c r="A183" s="18" t="inlineStr">
        <is>
          <t>OK</t>
        </is>
      </c>
      <c r="B183" s="18" t="inlineStr">
        <is>
          <t xml:space="preserve">Priscila </t>
        </is>
      </c>
      <c r="C183" s="16" t="n">
        <v>177</v>
      </c>
      <c r="D183" s="16" t="inlineStr">
        <is>
          <t>2016</t>
        </is>
      </c>
      <c r="E183" s="16" t="inlineStr">
        <is>
          <t>Life-cycle energy and cost analyses of window shading used to improve the thermal performance of houses</t>
        </is>
      </c>
      <c r="F183" s="16" t="inlineStr">
        <is>
          <t>INVIDIATA, ANDREA; Ghisi, Enedir</t>
        </is>
      </c>
      <c r="G183" s="16" t="inlineStr">
        <is>
          <t>Journal of Cleaner Production, v. 133, p. 1371-1383, 2016</t>
        </is>
      </c>
      <c r="H183" s="14" t="inlineStr">
        <is>
          <t>http://dx.doi.org/10.1016/j.jclepro.2016.06.072</t>
        </is>
      </c>
      <c r="I183" s="16" t="inlineStr">
        <is>
          <t>ACV, CCV, Sombreamento, Residencial-Unifamiliar, Simulacao-Computacional, Vidros-E-Janelas, Eletricidade, Eficiencia-Energetica</t>
        </is>
      </c>
      <c r="J183" s="16" t="inlineStr">
        <is>
          <t>ACV</t>
        </is>
      </c>
      <c r="K183" s="16" t="inlineStr">
        <is>
          <t>CCV</t>
        </is>
      </c>
      <c r="L183" s="16" t="inlineStr">
        <is>
          <t>Sombreamento</t>
        </is>
      </c>
      <c r="M183" s="16" t="inlineStr">
        <is>
          <t>Residencial-Unifamiliar</t>
        </is>
      </c>
      <c r="N183" s="16" t="inlineStr">
        <is>
          <t>Simulacao-Computacional</t>
        </is>
      </c>
      <c r="O183" s="16" t="inlineStr">
        <is>
          <t>Vidros-E-Janelas</t>
        </is>
      </c>
      <c r="P183" s="18" t="inlineStr">
        <is>
          <t>Eletricidade</t>
        </is>
      </c>
      <c r="Q183" s="0" t="inlineStr">
        <is>
          <t>Eficiencia-Energetica</t>
        </is>
      </c>
    </row>
    <row r="184" ht="14.25" customHeight="1" s="19">
      <c r="A184" s="18" t="inlineStr">
        <is>
          <t>OK</t>
        </is>
      </c>
      <c r="B184" s="18" t="inlineStr">
        <is>
          <t xml:space="preserve">Priscila </t>
        </is>
      </c>
      <c r="C184" s="16" t="n">
        <v>178</v>
      </c>
      <c r="D184" s="16" t="inlineStr">
        <is>
          <t>2016</t>
        </is>
      </c>
      <c r="E184" s="16" t="inlineStr">
        <is>
          <t>Decision-making process for improving thermal and energy performance of residential buildings: A case study of constructive systems in Brazil</t>
        </is>
      </c>
      <c r="F184" s="16" t="inlineStr">
        <is>
          <t>SILVA, A. S.; ALMEIDA, L. S. S.; GHISI, E.</t>
        </is>
      </c>
      <c r="G184" s="16" t="inlineStr">
        <is>
          <t>Energy and Buildings, v. 128, p. 270-286, 2016</t>
        </is>
      </c>
      <c r="H184" s="14" t="inlineStr">
        <is>
          <t>http://dx.doi.org/10.1016/j.enbuild.2016.06.084</t>
        </is>
      </c>
      <c r="I184" s="16" t="inlineStr">
        <is>
          <t>Analise-Incerteza, Analise-Sensibilidade, Eficiencia-Energetica, Comportamento-Usuario, Simulacao-Computacional</t>
        </is>
      </c>
      <c r="J184" s="16" t="inlineStr">
        <is>
          <t>Analise-Incerteza</t>
        </is>
      </c>
      <c r="K184" s="16" t="inlineStr">
        <is>
          <t>Analise-Sensibilidade</t>
        </is>
      </c>
      <c r="L184" s="16" t="inlineStr">
        <is>
          <t>Eficiencia-Energetica</t>
        </is>
      </c>
      <c r="M184" s="16" t="inlineStr">
        <is>
          <t>Comportamento-Usuario</t>
        </is>
      </c>
      <c r="N184" s="16" t="inlineStr">
        <is>
          <t>Simulacao-Computacional</t>
        </is>
      </c>
      <c r="O184" s="16" t="n"/>
      <c r="P184" s="18" t="n"/>
    </row>
    <row r="185" ht="14.25" customHeight="1" s="19">
      <c r="A185" s="18" t="inlineStr">
        <is>
          <t>OK</t>
        </is>
      </c>
      <c r="B185" s="18" t="inlineStr">
        <is>
          <t xml:space="preserve">Priscila </t>
        </is>
      </c>
      <c r="C185" s="16" t="n">
        <v>179</v>
      </c>
      <c r="D185" s="16" t="inlineStr">
        <is>
          <t>2016</t>
        </is>
      </c>
      <c r="E185" s="16" t="inlineStr">
        <is>
          <t>Method for obtaining reference buildings</t>
        </is>
      </c>
      <c r="F185" s="16" t="inlineStr">
        <is>
          <t>SCHAEFER, ALINE; Ghisi, Enedir</t>
        </is>
      </c>
      <c r="G185" s="16" t="inlineStr">
        <is>
          <t>Energy and Buildings, v. 128, p. 660-672, 2016</t>
        </is>
      </c>
      <c r="H185" s="14" t="inlineStr">
        <is>
          <t>http://dx.doi.org/10.1016/j.enbuild.2016.07.001</t>
        </is>
      </c>
      <c r="I185" s="16" t="inlineStr">
        <is>
          <t>Benchmarking, Simulacao-Computacional, Analise-Agrupamento, Habitacao-Interesse-Social, Desempenho-Termico</t>
        </is>
      </c>
      <c r="J185" s="16" t="inlineStr">
        <is>
          <t>Benchmarking</t>
        </is>
      </c>
      <c r="K185" s="16" t="inlineStr">
        <is>
          <t>Simulacao-Computacional</t>
        </is>
      </c>
      <c r="L185" s="16" t="inlineStr">
        <is>
          <t>Analise-Agrupamento</t>
        </is>
      </c>
      <c r="M185" s="16" t="inlineStr">
        <is>
          <t>Habitacao-Interesse-Social</t>
        </is>
      </c>
      <c r="N185" s="16" t="inlineStr">
        <is>
          <t>Desempenho-Termico</t>
        </is>
      </c>
      <c r="O185" s="16" t="n"/>
      <c r="P185" s="18" t="n"/>
    </row>
    <row r="186" ht="14.25" customHeight="1" s="19">
      <c r="A186" s="18" t="inlineStr">
        <is>
          <t>OK</t>
        </is>
      </c>
      <c r="B186" s="18" t="inlineStr">
        <is>
          <t xml:space="preserve">Priscila </t>
        </is>
      </c>
      <c r="C186" s="16" t="n">
        <v>180</v>
      </c>
      <c r="D186" s="16" t="inlineStr">
        <is>
          <t>2016</t>
        </is>
      </c>
      <c r="E186" s="16" t="inlineStr">
        <is>
          <t>Impact of climate change on heating and cooling energy demand in houses in Brazil</t>
        </is>
      </c>
      <c r="F186" s="16" t="inlineStr">
        <is>
          <t>INVIDIATA, A.; GHISI, E.</t>
        </is>
      </c>
      <c r="G186" s="16" t="inlineStr">
        <is>
          <t>Energy and Buildings, v. 130, p. 20-32, 2016</t>
        </is>
      </c>
      <c r="H186" s="14" t="inlineStr">
        <is>
          <t>http://dx.doi.org/10.1016/j.enbuild.2016.07.067</t>
        </is>
      </c>
      <c r="I186" s="16" t="inlineStr">
        <is>
          <t>Mudancas-Climaticas, Eletricidade, Eficiencia-Energetica, Conforto-Termico, Simulacao-Computacional, Residencial-Unifamiliar</t>
        </is>
      </c>
      <c r="J186" s="16" t="inlineStr">
        <is>
          <t>Mudancas-Climaticas</t>
        </is>
      </c>
      <c r="K186" s="16" t="inlineStr">
        <is>
          <t>Eletricidade</t>
        </is>
      </c>
      <c r="L186" s="16" t="inlineStr">
        <is>
          <t>Eficiencia-Energetica</t>
        </is>
      </c>
      <c r="M186" s="16" t="inlineStr">
        <is>
          <t>Conforto-Termico</t>
        </is>
      </c>
      <c r="N186" s="16" t="inlineStr">
        <is>
          <t>Simulacao-Computacional</t>
        </is>
      </c>
      <c r="O186" s="16" t="inlineStr">
        <is>
          <t>Residencial-Unifamiliar</t>
        </is>
      </c>
      <c r="P186" s="18" t="n"/>
    </row>
    <row r="187" ht="14.25" customHeight="1" s="19">
      <c r="A187" s="18" t="inlineStr">
        <is>
          <t>OK</t>
        </is>
      </c>
      <c r="B187" s="18" t="inlineStr">
        <is>
          <t xml:space="preserve">Priscila </t>
        </is>
      </c>
      <c r="C187" s="16" t="n">
        <v>181</v>
      </c>
      <c r="D187" s="16" t="inlineStr">
        <is>
          <t>2016</t>
        </is>
      </c>
      <c r="E187" s="16" t="inlineStr">
        <is>
          <t>Residential building design optimisation using sensitivity analysis and genetic algorithm</t>
        </is>
      </c>
      <c r="F187" s="16" t="inlineStr">
        <is>
          <t>BRE, F.; SILVA, A. S.; GHISI, E.; FACHINOTTI, V. D.</t>
        </is>
      </c>
      <c r="G187" s="16" t="inlineStr">
        <is>
          <t>Energy and Buildings, v. 133, p. 853-866, 2016</t>
        </is>
      </c>
      <c r="H187" s="14" t="inlineStr">
        <is>
          <t>http://dx.doi.org/10.1016/j.enbuild.2016.10.025</t>
        </is>
      </c>
      <c r="I187" s="16" t="inlineStr">
        <is>
          <t>Simulacao-Computacional, Analise-Sensibilidade, Residencial-Unifamiliar, Eficiencia-Energetica, Conforto-Termico, Envoltoria</t>
        </is>
      </c>
      <c r="J187" s="16" t="inlineStr">
        <is>
          <t>Simulacao-Computacional</t>
        </is>
      </c>
      <c r="K187" s="16" t="inlineStr">
        <is>
          <t>Analise-Sensibilidade</t>
        </is>
      </c>
      <c r="L187" s="16" t="inlineStr">
        <is>
          <t>Residencial-Unifamiliar</t>
        </is>
      </c>
      <c r="M187" s="16" t="inlineStr">
        <is>
          <t>Eficiencia-Energetica</t>
        </is>
      </c>
      <c r="N187" s="16" t="inlineStr">
        <is>
          <t>Conforto-Termico</t>
        </is>
      </c>
      <c r="O187" s="16" t="inlineStr">
        <is>
          <t>Envoltoria</t>
        </is>
      </c>
      <c r="P187" s="18" t="n"/>
    </row>
    <row r="188" ht="14.25" customHeight="1" s="19">
      <c r="A188" s="18" t="inlineStr">
        <is>
          <t>OK</t>
        </is>
      </c>
      <c r="B188" s="18" t="inlineStr">
        <is>
          <t xml:space="preserve">Priscila </t>
        </is>
      </c>
      <c r="C188" s="16" t="n">
        <v>182</v>
      </c>
      <c r="D188" s="16" t="inlineStr">
        <is>
          <t>2015</t>
        </is>
      </c>
      <c r="E188" s="16" t="inlineStr">
        <is>
          <t>Comparative life-cycle assessment of ordinary and water-saving taps</t>
        </is>
      </c>
      <c r="F188" s="16" t="inlineStr">
        <is>
          <t>KALBUSCH, ANDREZA; Ghisi, Enedir</t>
        </is>
      </c>
      <c r="G188" s="16" t="inlineStr">
        <is>
          <t>JOURNAL OF CLEANER PRODUCTION, v. 112, p. 4585-4593, 2015</t>
        </is>
      </c>
      <c r="H188" s="14" t="inlineStr">
        <is>
          <t>http://dx.doi.org/10.1016/j.jclepro.2015.06.075</t>
        </is>
      </c>
      <c r="I188" s="16" t="inlineStr">
        <is>
          <t>ACV, Equipamento-Hidrossanitario, CCV</t>
        </is>
      </c>
      <c r="J188" s="16" t="inlineStr">
        <is>
          <t>ACV</t>
        </is>
      </c>
      <c r="K188" s="16" t="inlineStr">
        <is>
          <t>Equipamento-Hidrossanitario</t>
        </is>
      </c>
      <c r="L188" s="16" t="inlineStr">
        <is>
          <t>CCV</t>
        </is>
      </c>
      <c r="M188" s="16" t="n"/>
      <c r="N188" s="16" t="n"/>
      <c r="O188" s="16" t="n"/>
      <c r="P188" s="18" t="n"/>
    </row>
    <row r="189" ht="14.25" customHeight="1" s="19">
      <c r="A189" s="18" t="inlineStr">
        <is>
          <t>OK</t>
        </is>
      </c>
      <c r="B189" s="18" t="inlineStr">
        <is>
          <t xml:space="preserve">Priscila </t>
        </is>
      </c>
      <c r="C189" s="16" t="n">
        <v>183</v>
      </c>
      <c r="D189" s="16" t="inlineStr">
        <is>
          <t>2014</t>
        </is>
      </c>
      <c r="E189" s="16" t="inlineStr">
        <is>
          <t>What is the most adequate method to assess thermal comfort in hybrid commercial buildings located in hot-humid summer climate?</t>
        </is>
      </c>
      <c r="F189" s="16" t="inlineStr">
        <is>
          <t>RUPP, R.F.; GHISI, E.</t>
        </is>
      </c>
      <c r="G189" s="16" t="inlineStr">
        <is>
          <t>Renewable &amp; Sustainable Energy Reviews, v. 29, p. 449-462, 2014</t>
        </is>
      </c>
      <c r="H189" s="14" t="inlineStr">
        <is>
          <t>http://dx.doi.org/10.1016/j.rser.2013.08.102</t>
        </is>
      </c>
      <c r="I189" s="16" t="inlineStr">
        <is>
          <t>Conforto-Termico, Comercial-Escritorio, Simulacao-Computacional, Ventilacao</t>
        </is>
      </c>
      <c r="J189" s="16" t="inlineStr">
        <is>
          <t>Conforto-Termico</t>
        </is>
      </c>
      <c r="K189" s="16" t="inlineStr">
        <is>
          <t>Comercial-Escritorio</t>
        </is>
      </c>
      <c r="L189" s="16" t="inlineStr">
        <is>
          <t>Simulacao-Computacional</t>
        </is>
      </c>
      <c r="M189" s="16" t="inlineStr">
        <is>
          <t>Ventilacao</t>
        </is>
      </c>
      <c r="N189" s="16" t="n"/>
      <c r="O189" s="16" t="n"/>
      <c r="P189" s="18" t="n"/>
    </row>
    <row r="190" ht="14.25" customHeight="1" s="19">
      <c r="A190" s="18" t="inlineStr">
        <is>
          <t>OK</t>
        </is>
      </c>
      <c r="B190" s="18" t="inlineStr">
        <is>
          <t xml:space="preserve">Priscila </t>
        </is>
      </c>
      <c r="C190" s="16" t="n">
        <v>184</v>
      </c>
      <c r="D190" s="16" t="inlineStr">
        <is>
          <t>2014</t>
        </is>
      </c>
      <c r="E190" s="16" t="inlineStr">
        <is>
          <t>Knowing electricity end-uses to successfully promote energy efficiency in buildings: a case study in low-income houses in Southern Brazil</t>
        </is>
      </c>
      <c r="F190" s="16" t="inlineStr">
        <is>
          <t>SILVA, A. S.; LUIZ, F.; MANSUR, A. C.; VIEIRA, Abel Silva; SCHAEFER, A.; GHISI, E.</t>
        </is>
      </c>
      <c r="G190" s="16" t="inlineStr">
        <is>
          <t>Journal of Sustainable Energy Planning and Management, v. 2, p. 7-18, 2014.  DOI</t>
        </is>
      </c>
      <c r="H190" s="14" t="inlineStr">
        <is>
          <t>http://dx.doi.org/10.5278/ijsepm.2014.2.2</t>
        </is>
      </c>
      <c r="I190" s="16" t="inlineStr">
        <is>
          <t>Usos-Finais, Eletricidade, Habitacao-Interesse-Social, Estudo-Campo, Eficiencia-Energetica</t>
        </is>
      </c>
      <c r="J190" s="16" t="inlineStr">
        <is>
          <t>Usos-Finais</t>
        </is>
      </c>
      <c r="K190" s="16" t="inlineStr">
        <is>
          <t>Eletricidade</t>
        </is>
      </c>
      <c r="L190" s="16" t="inlineStr">
        <is>
          <t>Habitacao-Interesse-Social</t>
        </is>
      </c>
      <c r="M190" s="16" t="inlineStr">
        <is>
          <t>Estudo-Campo</t>
        </is>
      </c>
      <c r="N190" s="16" t="inlineStr">
        <is>
          <t>Eficiencia-Energetica</t>
        </is>
      </c>
      <c r="O190" s="16" t="n"/>
      <c r="P190" s="18" t="n"/>
    </row>
    <row r="191" ht="14.25" customHeight="1" s="19">
      <c r="A191" s="18" t="inlineStr">
        <is>
          <t>OK</t>
        </is>
      </c>
      <c r="B191" s="18" t="inlineStr">
        <is>
          <t xml:space="preserve">Priscila </t>
        </is>
      </c>
      <c r="C191" s="16" t="n">
        <v>185</v>
      </c>
      <c r="D191" s="16" t="inlineStr">
        <is>
          <t>2014</t>
        </is>
      </c>
      <c r="E191" s="16" t="inlineStr">
        <is>
          <t>Uncertainty analysis of the computer model in building performance simulation</t>
        </is>
      </c>
      <c r="F191" s="16" t="inlineStr">
        <is>
          <t>SILVA, A. S.; GHISI, E.</t>
        </is>
      </c>
      <c r="G191" s="16" t="inlineStr">
        <is>
          <t>Energy and Buildings, v. 76, p. 258-269, 2014</t>
        </is>
      </c>
      <c r="H191" s="14" t="inlineStr">
        <is>
          <t>http://dx.doi.org/10.1016/j.enbuild.2014.02.070</t>
        </is>
      </c>
      <c r="I191" s="16" t="inlineStr">
        <is>
          <t>Simulacao-Computacional, Analise-Incerteza, Eficiencia-Energetica</t>
        </is>
      </c>
      <c r="J191" s="16" t="inlineStr">
        <is>
          <t>Simulacao-Computacional</t>
        </is>
      </c>
      <c r="K191" s="16" t="inlineStr">
        <is>
          <t>Analise-Incerteza</t>
        </is>
      </c>
      <c r="L191" s="16" t="inlineStr">
        <is>
          <t>Eficiencia-Energetica</t>
        </is>
      </c>
      <c r="M191" s="16" t="n"/>
      <c r="N191" s="16" t="n"/>
      <c r="O191" s="16" t="n"/>
      <c r="P191" s="18" t="n"/>
    </row>
    <row r="192" ht="14.25" customHeight="1" s="19">
      <c r="A192" s="18" t="inlineStr">
        <is>
          <t>OK</t>
        </is>
      </c>
      <c r="B192" s="18" t="inlineStr">
        <is>
          <t xml:space="preserve">Priscila </t>
        </is>
      </c>
      <c r="C192" s="16" t="n">
        <v>186</v>
      </c>
      <c r="D192" s="16" t="inlineStr">
        <is>
          <t>2014</t>
        </is>
      </c>
      <c r="E192" s="16" t="inlineStr">
        <is>
          <t>Energy intensity of rainwater harvesting systems: A review</t>
        </is>
      </c>
      <c r="F192" s="16" t="inlineStr">
        <is>
          <t>VIEIRA, Abel Silva; BEAL, C. D.; GHISI, E.; STEWART, R. A.</t>
        </is>
      </c>
      <c r="G192" s="16" t="inlineStr">
        <is>
          <t>Renewable &amp; Sustainable Energy Reviews, v. 34, p. 225-242, 2014</t>
        </is>
      </c>
      <c r="H192" s="14" t="inlineStr">
        <is>
          <t>http://dx.doi.org/10.1016/j.rser.2014.03.012</t>
        </is>
      </c>
      <c r="I192" s="16" t="inlineStr">
        <is>
          <t>Agua-Pluvial, Eletricidade, Revisao-Literatura, Aproveitamento-agua-chuva, Eficiencia-Energetica</t>
        </is>
      </c>
      <c r="J192" s="16" t="inlineStr">
        <is>
          <t>Agua-Pluvial</t>
        </is>
      </c>
      <c r="K192" s="16" t="inlineStr">
        <is>
          <t>Eletricidade</t>
        </is>
      </c>
      <c r="L192" s="16" t="inlineStr">
        <is>
          <t>Revisao-Literatura</t>
        </is>
      </c>
      <c r="M192" s="16" t="inlineStr">
        <is>
          <t>Aproveitamento-agua-chuva</t>
        </is>
      </c>
      <c r="N192" s="16" t="inlineStr">
        <is>
          <t>Eficiencia-Energetica</t>
        </is>
      </c>
      <c r="O192" s="16" t="n"/>
      <c r="P192" s="18" t="n"/>
    </row>
    <row r="193" ht="14.25" customHeight="1" s="19">
      <c r="A193" s="18" t="inlineStr">
        <is>
          <t>OK</t>
        </is>
      </c>
      <c r="B193" s="18" t="inlineStr">
        <is>
          <t xml:space="preserve">Priscila </t>
        </is>
      </c>
      <c r="C193" s="16" t="n">
        <v>187</v>
      </c>
      <c r="D193" s="16" t="inlineStr">
        <is>
          <t>2014</t>
        </is>
      </c>
      <c r="E193" s="16" t="inlineStr">
        <is>
          <t>Uncertainty analysis of user behaviour and physical parameters in residential building performance simulation</t>
        </is>
      </c>
      <c r="F193" s="16" t="inlineStr">
        <is>
          <t>SILVA, A. S.; GHISI, E.</t>
        </is>
      </c>
      <c r="G193" s="16" t="inlineStr">
        <is>
          <t>Energy and Buildings, v. 76, p. 381-391, 2014</t>
        </is>
      </c>
      <c r="H193" s="14" t="inlineStr">
        <is>
          <t>http://dx.doi.org/10.1016/j.enbuild.2014.03.001</t>
        </is>
      </c>
      <c r="I193" s="16" t="inlineStr">
        <is>
          <t>Comportamento-Usuario, Simulacao-Computacional, Residencial-Unifamiliar, Analise-Incerteza, Analise-Sensibilidade</t>
        </is>
      </c>
      <c r="J193" s="16" t="inlineStr">
        <is>
          <t>Comportamento-Usuario</t>
        </is>
      </c>
      <c r="K193" s="16" t="inlineStr">
        <is>
          <t>Simulacao-Computacional</t>
        </is>
      </c>
      <c r="L193" s="16" t="inlineStr">
        <is>
          <t>Residencial-Unifamiliar</t>
        </is>
      </c>
      <c r="M193" s="16" t="inlineStr">
        <is>
          <t>Analise-Incerteza</t>
        </is>
      </c>
      <c r="N193" s="16" t="inlineStr">
        <is>
          <t>Analise-Sensibilidade</t>
        </is>
      </c>
      <c r="O193" s="16" t="n"/>
      <c r="P193" s="18" t="n"/>
    </row>
    <row r="194" ht="14.25" customHeight="1" s="19">
      <c r="A194" s="18" t="inlineStr">
        <is>
          <t>OK</t>
        </is>
      </c>
      <c r="B194" s="18" t="inlineStr">
        <is>
          <t xml:space="preserve">Priscila </t>
        </is>
      </c>
      <c r="C194" s="16" t="n">
        <v>188</v>
      </c>
      <c r="D194" s="16" t="inlineStr">
        <is>
          <t>2014</t>
        </is>
      </c>
      <c r="E194" s="16" t="inlineStr">
        <is>
          <t>Análise comparativa dos resultados do desempenho térmico da envoltória de uma edificação residencial pelos métodos de simulação do RTQ-R e da NBR 15575-1</t>
        </is>
      </c>
      <c r="F194" s="16" t="inlineStr">
        <is>
          <t>SILVA, A. S.; GHISI, E.</t>
        </is>
      </c>
      <c r="G194" s="16" t="inlineStr">
        <is>
          <t>Ambiente Construído (Online), v. 14, p. 215-230, 2014</t>
        </is>
      </c>
      <c r="H194" s="14" t="inlineStr">
        <is>
          <t>http://dx.doi.org/10.1590/S1678-86212014000100016</t>
        </is>
      </c>
      <c r="I194" s="16" t="inlineStr">
        <is>
          <t>Desempenho-Termico, Envoltoria, Simulacao-Computacional, Analise-Sensibilidade</t>
        </is>
      </c>
      <c r="J194" s="16" t="inlineStr">
        <is>
          <t>Desempenho-Termico</t>
        </is>
      </c>
      <c r="K194" s="16" t="inlineStr">
        <is>
          <t>Envoltoria</t>
        </is>
      </c>
      <c r="L194" s="16" t="inlineStr">
        <is>
          <t>Simulacao-Computacional</t>
        </is>
      </c>
      <c r="M194" s="16" t="inlineStr">
        <is>
          <t>Analise-Sensibilidade</t>
        </is>
      </c>
      <c r="N194" s="16" t="n"/>
      <c r="O194" s="16" t="n"/>
      <c r="P194" s="18" t="n"/>
    </row>
    <row r="195" ht="14.25" customHeight="1" s="19">
      <c r="A195" s="18" t="inlineStr">
        <is>
          <t>OK</t>
        </is>
      </c>
      <c r="B195" s="18" t="inlineStr">
        <is>
          <t xml:space="preserve">Priscila </t>
        </is>
      </c>
      <c r="C195" s="16" t="n">
        <v>189</v>
      </c>
      <c r="D195" s="16" t="inlineStr">
        <is>
          <t>2014</t>
        </is>
      </c>
      <c r="E195" s="16" t="inlineStr">
        <is>
          <t>Comparing indicators to rank strategies to save potable water in buildings</t>
        </is>
      </c>
      <c r="F195" s="16" t="inlineStr">
        <is>
          <t>GHISI, E.; RUPP, R.F.; TRISKA, Y.</t>
        </is>
      </c>
      <c r="G195" s="16" t="inlineStr">
        <is>
          <t>Resources, Conservation and Recycling, v. 87, p. 137-144, 2014</t>
        </is>
      </c>
      <c r="H195" s="14" t="inlineStr">
        <is>
          <t>http://dx.doi.org/10.1016/j.resconrec.2014.04.001</t>
        </is>
      </c>
      <c r="I195" s="16" t="inlineStr">
        <is>
          <t>Agua-Potavel, Benchmarking, Escola-Universidade, Agua-Pluvial, Energia-embutida, Agua-Cinza, Aproveitamento-agua-chuva</t>
        </is>
      </c>
      <c r="J195" s="16" t="inlineStr">
        <is>
          <t>Agua-Potavel</t>
        </is>
      </c>
      <c r="K195" s="16" t="inlineStr">
        <is>
          <t>Benchmarking</t>
        </is>
      </c>
      <c r="L195" s="16" t="inlineStr">
        <is>
          <t>Escola-Universidade</t>
        </is>
      </c>
      <c r="M195" s="16" t="inlineStr">
        <is>
          <t>Agua-Pluvial</t>
        </is>
      </c>
      <c r="N195" s="16" t="inlineStr">
        <is>
          <t>Energia-embutida</t>
        </is>
      </c>
      <c r="O195" s="16" t="inlineStr">
        <is>
          <t>Agua-Cinza</t>
        </is>
      </c>
      <c r="P195" s="18" t="inlineStr">
        <is>
          <t>Aproveitamento-agua-chuva</t>
        </is>
      </c>
    </row>
    <row r="196" ht="14.25" customHeight="1" s="19">
      <c r="A196" s="18" t="inlineStr">
        <is>
          <t>OK</t>
        </is>
      </c>
      <c r="B196" s="18" t="inlineStr">
        <is>
          <t xml:space="preserve">Priscila </t>
        </is>
      </c>
      <c r="C196" s="16" t="n">
        <v>190</v>
      </c>
      <c r="D196" s="16" t="inlineStr">
        <is>
          <t>2014</t>
        </is>
      </c>
      <c r="E196" s="16" t="inlineStr">
        <is>
          <t>Water End-Uses in Low-Income Houses in Southern Brazil</t>
        </is>
      </c>
      <c r="F196" s="16" t="inlineStr">
        <is>
          <t>MARINOSKI, Ana Kelly; VIEIRA, Abel Silva; SILVA, A. S.; GHISI, E.</t>
        </is>
      </c>
      <c r="G196" s="16" t="inlineStr">
        <is>
          <t>Water, v. 6, p. 1985-1999, 2014</t>
        </is>
      </c>
      <c r="H196" s="14" t="inlineStr">
        <is>
          <t>http://dx.doi.org/10.3390/w6071985</t>
        </is>
      </c>
      <c r="I196" s="16" t="inlineStr">
        <is>
          <t>Usos-Finais, Agua-Potavel, Habitacao-Interesse-Social, Benchmarking</t>
        </is>
      </c>
      <c r="J196" s="16" t="inlineStr">
        <is>
          <t>Usos-Finais</t>
        </is>
      </c>
      <c r="K196" s="16" t="inlineStr">
        <is>
          <t>Agua-Potavel</t>
        </is>
      </c>
      <c r="L196" s="16" t="inlineStr">
        <is>
          <t>Habitacao-Interesse-Social</t>
        </is>
      </c>
      <c r="M196" s="16" t="inlineStr">
        <is>
          <t>Benchmarking</t>
        </is>
      </c>
      <c r="N196" s="16" t="n"/>
      <c r="O196" s="16" t="n"/>
      <c r="P196" s="18" t="n"/>
    </row>
    <row r="197" ht="14.25" customHeight="1" s="19">
      <c r="A197" s="18" t="inlineStr">
        <is>
          <t>OK</t>
        </is>
      </c>
      <c r="B197" s="18" t="inlineStr">
        <is>
          <t xml:space="preserve">Priscila </t>
        </is>
      </c>
      <c r="C197" s="16" t="n">
        <v>191</v>
      </c>
      <c r="D197" s="16" t="inlineStr">
        <is>
          <t>2014</t>
        </is>
      </c>
      <c r="E197" s="16" t="inlineStr">
        <is>
          <t>Investment feasibility analysis of rainwater harvesting in the city of Itapiranga, Brazil</t>
        </is>
      </c>
      <c r="F197" s="16" t="inlineStr">
        <is>
          <t>BERWANGER, H.; GHISI, E.</t>
        </is>
      </c>
      <c r="G197" s="16" t="inlineStr">
        <is>
          <t>International Journal of Sustainable Human Development, v. 2, p. 104-114, 2014.  DOI</t>
        </is>
      </c>
      <c r="H197" s="14" t="inlineStr">
        <is>
          <t>https://www.researchgate.net/publication/289385211_Investment_feasibility_analysis_of_rainwater_harvesting_in_the_city_of_Itapiranga_Brazil</t>
        </is>
      </c>
      <c r="I197" s="16" t="inlineStr">
        <is>
          <t>CCV, Agua-Pluvial, Simulacao-Computacional, Aproveitamento-agua-chuva</t>
        </is>
      </c>
      <c r="J197" s="16" t="inlineStr">
        <is>
          <t>CCV</t>
        </is>
      </c>
      <c r="K197" s="16" t="inlineStr">
        <is>
          <t>Agua-Pluvial</t>
        </is>
      </c>
      <c r="L197" s="16" t="inlineStr">
        <is>
          <t>Simulacao-Computacional</t>
        </is>
      </c>
      <c r="M197" s="16" t="inlineStr">
        <is>
          <t>Aproveitamento-agua-chuva</t>
        </is>
      </c>
      <c r="N197" s="16" t="n"/>
      <c r="O197" s="16" t="n"/>
      <c r="P197" s="18" t="n"/>
    </row>
    <row r="198" ht="14.25" customHeight="1" s="19">
      <c r="A198" s="18" t="inlineStr">
        <is>
          <t>OK</t>
        </is>
      </c>
      <c r="B198" s="18" t="inlineStr">
        <is>
          <t xml:space="preserve">Priscila </t>
        </is>
      </c>
      <c r="C198" s="16" t="n">
        <v>192</v>
      </c>
      <c r="D198" s="16" t="inlineStr">
        <is>
          <t>2014</t>
        </is>
      </c>
      <c r="E198" s="16" t="inlineStr">
        <is>
          <t>Comparação do desempenho térmico de revestimentos brancos</t>
        </is>
      </c>
      <c r="F198" s="16" t="inlineStr">
        <is>
          <t>PEREIRA, Cláudia Donald; GHISI, E.; GÜTHS, Saulo</t>
        </is>
      </c>
      <c r="G198" s="16" t="inlineStr">
        <is>
          <t>P@ranoá (UNB), p. 65-72, 2014</t>
        </is>
      </c>
      <c r="H198" s="14" t="inlineStr">
        <is>
          <t>http://dx.doi.org/10.18830/issn.1679-0944.n12.2014.12295</t>
        </is>
      </c>
      <c r="I198" s="16" t="inlineStr">
        <is>
          <t>Envoltoria, Desempenho-Termico</t>
        </is>
      </c>
      <c r="J198" s="16" t="inlineStr">
        <is>
          <t>Envoltoria</t>
        </is>
      </c>
      <c r="K198" s="16" t="inlineStr">
        <is>
          <t>Desempenho-Termico</t>
        </is>
      </c>
      <c r="L198" s="16" t="n"/>
      <c r="M198" s="16" t="n"/>
      <c r="N198" s="16" t="n"/>
      <c r="O198" s="16" t="n"/>
      <c r="P198" s="18" t="n"/>
    </row>
    <row r="199" ht="14.25" customHeight="1" s="19">
      <c r="A199" s="18" t="inlineStr">
        <is>
          <t>OK</t>
        </is>
      </c>
      <c r="B199" s="18" t="inlineStr">
        <is>
          <t xml:space="preserve">Priscila </t>
        </is>
      </c>
      <c r="C199" s="16" t="n">
        <v>193</v>
      </c>
      <c r="D199" s="16" t="inlineStr">
        <is>
          <t>2014</t>
        </is>
      </c>
      <c r="E199" s="16" t="inlineStr">
        <is>
          <t>Usos Finais de Eletricidade e Rotinas de Uso como Base para Estratégias de Eficiência Energética por Meio de Auditoria Residencial</t>
        </is>
      </c>
      <c r="F199" s="16" t="inlineStr">
        <is>
          <t>SILVA, A. S.; LUIZ, F.; MANSUR, A. C.; GHISI, E.</t>
        </is>
      </c>
      <c r="G199" s="16" t="inlineStr">
        <is>
          <t>P@ranoá (UNB), p. 85-93, 2014</t>
        </is>
      </c>
      <c r="H199" s="14" t="inlineStr">
        <is>
          <t>http://dx.doi.org/10.18830/issn.1679-0944.n12.2014.12297</t>
        </is>
      </c>
      <c r="I199" s="16" t="inlineStr">
        <is>
          <t>Usos-Finais, Eletricidade, Comportamento-Usuario, Habitacao-Interesse-Social, Eficiencia-Energetica</t>
        </is>
      </c>
      <c r="J199" s="16" t="inlineStr">
        <is>
          <t>Usos-Finais</t>
        </is>
      </c>
      <c r="K199" s="16" t="inlineStr">
        <is>
          <t>Eletricidade</t>
        </is>
      </c>
      <c r="L199" s="16" t="inlineStr">
        <is>
          <t>Comportamento-Usuario</t>
        </is>
      </c>
      <c r="M199" s="16" t="inlineStr">
        <is>
          <t>Habitacao-Interesse-Social</t>
        </is>
      </c>
      <c r="N199" s="18" t="inlineStr">
        <is>
          <t>Eficiencia-Energetica</t>
        </is>
      </c>
      <c r="O199" s="16" t="n"/>
      <c r="P199" s="18" t="n"/>
    </row>
    <row r="200" ht="14.25" customHeight="1" s="19">
      <c r="A200" s="18" t="inlineStr">
        <is>
          <t>OK</t>
        </is>
      </c>
      <c r="B200" s="18" t="inlineStr">
        <is>
          <t xml:space="preserve">Priscila </t>
        </is>
      </c>
      <c r="C200" s="16" t="n">
        <v>194</v>
      </c>
      <c r="D200" s="16" t="inlineStr">
        <is>
          <t>2014</t>
        </is>
      </c>
      <c r="E200" s="16" t="inlineStr">
        <is>
          <t>Incerteza do método de simulação da NBR 15575-1 para a avaliação do desempenho térmico de habitações</t>
        </is>
      </c>
      <c r="F200" s="16" t="inlineStr">
        <is>
          <t>SILVA, A. S.; SORGATO, M. J.; MAZZAFERRO, L.; MELO, Ana Paula; GHISI, E.</t>
        </is>
      </c>
      <c r="G200" s="16" t="inlineStr">
        <is>
          <t>Ambiente Construído (Online), v. 14, p. 103-117, 2014</t>
        </is>
      </c>
      <c r="H200" s="14" t="inlineStr">
        <is>
          <t>http://dx.doi.org/10.1590/s1678-86212014000400008</t>
        </is>
      </c>
      <c r="I200" s="16" t="inlineStr">
        <is>
          <t>Simulacao-Computacional, Desempenho-Termico, Residencial-Unifamiliar, Analise-Incerteza, Analise-Sensibilidade</t>
        </is>
      </c>
      <c r="J200" s="16" t="inlineStr">
        <is>
          <t>Simulacao-Computacional</t>
        </is>
      </c>
      <c r="K200" s="16" t="inlineStr">
        <is>
          <t>Desempenho-Termico</t>
        </is>
      </c>
      <c r="L200" s="16" t="inlineStr">
        <is>
          <t>Residencial-Unifamiliar</t>
        </is>
      </c>
      <c r="M200" s="16" t="inlineStr">
        <is>
          <t>Analise-Incerteza</t>
        </is>
      </c>
      <c r="N200" s="16" t="inlineStr">
        <is>
          <t>Analise-Sensibilidade</t>
        </is>
      </c>
      <c r="O200" s="16" t="n"/>
      <c r="P200" s="18" t="n"/>
    </row>
    <row r="201" ht="14.25" customHeight="1" s="19">
      <c r="A201" s="18" t="inlineStr">
        <is>
          <t>OK</t>
        </is>
      </c>
      <c r="B201" s="18" t="inlineStr">
        <is>
          <t xml:space="preserve">Priscila </t>
        </is>
      </c>
      <c r="C201" s="16" t="n">
        <v>195</v>
      </c>
      <c r="D201" s="16" t="inlineStr">
        <is>
          <t>2013</t>
        </is>
      </c>
      <c r="E201" s="16" t="inlineStr">
        <is>
          <t>Assessment of Potable Water Savings in Office Buildings Considering Embodied Energy</t>
        </is>
      </c>
      <c r="F201" s="16" t="inlineStr">
        <is>
          <t>PROENÇA, Lúcio Costa; Ghisi, Enedir</t>
        </is>
      </c>
      <c r="G201" s="16" t="inlineStr">
        <is>
          <t>Water Resources Management, v. 27, p. 581-599, 2013</t>
        </is>
      </c>
      <c r="H201" s="14" t="inlineStr">
        <is>
          <t>http://dx.doi.org/10.1007/s11269-012-0203-1</t>
        </is>
      </c>
      <c r="I201" s="16" t="inlineStr">
        <is>
          <t>Agua-Potavel, Energia-embutida, Agua-Pluvial, Agua-Cinza, Aproveitamento-agua-chuva, Comercial-Escritorio</t>
        </is>
      </c>
      <c r="J201" s="16" t="inlineStr">
        <is>
          <t>Agua-Potavel</t>
        </is>
      </c>
      <c r="K201" s="16" t="inlineStr">
        <is>
          <t>Energia-embutida</t>
        </is>
      </c>
      <c r="L201" s="16" t="inlineStr">
        <is>
          <t>Agua-Pluvial</t>
        </is>
      </c>
      <c r="M201" s="16" t="inlineStr">
        <is>
          <t>Agua-Cinza</t>
        </is>
      </c>
      <c r="N201" s="16" t="inlineStr">
        <is>
          <t>Aproveitamento-agua-chuva</t>
        </is>
      </c>
      <c r="O201" s="16" t="inlineStr">
        <is>
          <t>Comercial-Escritorio</t>
        </is>
      </c>
      <c r="P201" s="18" t="n"/>
    </row>
    <row r="202" ht="14.25" customHeight="1" s="19">
      <c r="A202" s="18" t="inlineStr">
        <is>
          <t>OK</t>
        </is>
      </c>
      <c r="B202" s="18" t="inlineStr">
        <is>
          <t xml:space="preserve">Priscila </t>
        </is>
      </c>
      <c r="C202" s="16" t="n">
        <v>196</v>
      </c>
      <c r="D202" s="16" t="inlineStr">
        <is>
          <t>2013</t>
        </is>
      </c>
      <c r="E202" s="16" t="inlineStr">
        <is>
          <t>Investment Feasibility Analysis of Rainwater Use in Residences</t>
        </is>
      </c>
      <c r="F202" s="16" t="inlineStr">
        <is>
          <t>GHISI, E.; SCHONDERMARK, P. N.</t>
        </is>
      </c>
      <c r="G202" s="16" t="inlineStr">
        <is>
          <t>Water Resources Management, v. 27, p. 2555-2576, 2013</t>
        </is>
      </c>
      <c r="H202" s="14" t="inlineStr">
        <is>
          <t>http://dx.doi.org/10.1007/s11269-013-0303-6</t>
        </is>
      </c>
      <c r="I202" s="16" t="inlineStr">
        <is>
          <t>CCV, Agua-Pluvial, Residencial-Unifamiliar, Aproveitamento-agua-chuva</t>
        </is>
      </c>
      <c r="J202" s="16" t="inlineStr">
        <is>
          <t>CCV</t>
        </is>
      </c>
      <c r="K202" s="16" t="inlineStr">
        <is>
          <t>Agua-Pluvial</t>
        </is>
      </c>
      <c r="L202" s="16" t="inlineStr">
        <is>
          <t>Residencial-Unifamiliar</t>
        </is>
      </c>
      <c r="M202" s="16" t="inlineStr">
        <is>
          <t>Aproveitamento-agua-chuva</t>
        </is>
      </c>
      <c r="N202" s="16" t="n"/>
      <c r="O202" s="16" t="n"/>
      <c r="P202" s="18" t="n"/>
    </row>
    <row r="203" ht="14.25" customHeight="1" s="19">
      <c r="A203" s="18" t="inlineStr">
        <is>
          <t>OK</t>
        </is>
      </c>
      <c r="B203" s="18" t="inlineStr">
        <is>
          <t xml:space="preserve">Priscila </t>
        </is>
      </c>
      <c r="C203" s="16" t="n">
        <v>197</v>
      </c>
      <c r="D203" s="16" t="inlineStr">
        <is>
          <t>2013</t>
        </is>
      </c>
      <c r="E203" s="16" t="inlineStr">
        <is>
          <t>Potencial de economia de energia elétrica em edificações comerciais híbridas localizadas em Florianópolis, SC</t>
        </is>
      </c>
      <c r="F203" s="16" t="inlineStr">
        <is>
          <t>RUPP, R.F.; GHISI, E.</t>
        </is>
      </c>
      <c r="G203" s="16" t="inlineStr">
        <is>
          <t>Ambiente Construído (Online), v. 13, p. 143-160, 2013</t>
        </is>
      </c>
      <c r="H203" s="14" t="inlineStr">
        <is>
          <t>http://dx.doi.org/10.1590/s1678-86212013000100010</t>
        </is>
      </c>
      <c r="I203" s="16" t="inlineStr">
        <is>
          <t>Eletricidade, Comercial-Escritorio, Ventilacao, Simulacao-Computacional, Eficiencia-Energetica</t>
        </is>
      </c>
      <c r="J203" s="16" t="inlineStr">
        <is>
          <t>Eletricidade</t>
        </is>
      </c>
      <c r="K203" s="16" t="inlineStr">
        <is>
          <t>Comercial-Escritorio</t>
        </is>
      </c>
      <c r="L203" s="16" t="inlineStr">
        <is>
          <t>Ventilacao</t>
        </is>
      </c>
      <c r="M203" s="16" t="inlineStr">
        <is>
          <t>Simulacao-Computacional</t>
        </is>
      </c>
      <c r="N203" s="18" t="inlineStr">
        <is>
          <t>Eficiencia-Energetica</t>
        </is>
      </c>
      <c r="O203" s="16" t="n"/>
      <c r="P203" s="18" t="n"/>
    </row>
    <row r="204" ht="14.25" customHeight="1" s="19">
      <c r="A204" s="18" t="inlineStr">
        <is>
          <t>OK</t>
        </is>
      </c>
      <c r="B204" s="18" t="inlineStr">
        <is>
          <t xml:space="preserve">Priscila </t>
        </is>
      </c>
      <c r="C204" s="16" t="n">
        <v>198</v>
      </c>
      <c r="D204" s="16" t="inlineStr">
        <is>
          <t>2013</t>
        </is>
      </c>
      <c r="E204" s="16" t="inlineStr">
        <is>
          <t>Self-cleaning filtration: A novel concept for rainwater harvesting systems</t>
        </is>
      </c>
      <c r="F204" s="16" t="inlineStr">
        <is>
          <t>VIEIRA, Abel Silva; GHISI, E.; WEEBER, M.</t>
        </is>
      </c>
      <c r="G204" s="16" t="inlineStr">
        <is>
          <t>Resources, Conservation and Recycling, v. 78, p. 67-73, 2013</t>
        </is>
      </c>
      <c r="H204" s="14" t="inlineStr">
        <is>
          <t>http://dx.doi.org/10.1016/j.resconrec.2013.06.008</t>
        </is>
      </c>
      <c r="I204" s="16" t="inlineStr">
        <is>
          <t>Agua-Pluvial, First-Flush, Qualidade-Agua</t>
        </is>
      </c>
      <c r="J204" s="16" t="inlineStr">
        <is>
          <t>Agua-Pluvial</t>
        </is>
      </c>
      <c r="K204" s="16" t="inlineStr">
        <is>
          <t>First-Flush</t>
        </is>
      </c>
      <c r="L204" s="16" t="inlineStr">
        <is>
          <t>Qualidade-Agua</t>
        </is>
      </c>
      <c r="M204" s="16" t="n"/>
      <c r="N204" s="16" t="n"/>
      <c r="O204" s="16" t="n"/>
      <c r="P204" s="18" t="n"/>
    </row>
    <row r="205" ht="14.25" customHeight="1" s="19">
      <c r="A205" s="18" t="inlineStr">
        <is>
          <t>OK</t>
        </is>
      </c>
      <c r="B205" s="18" t="inlineStr">
        <is>
          <t xml:space="preserve">Priscila </t>
        </is>
      </c>
      <c r="C205" s="16" t="n">
        <v>199</v>
      </c>
      <c r="D205" s="16" t="inlineStr">
        <is>
          <t>2013</t>
        </is>
      </c>
      <c r="E205" s="16" t="inlineStr">
        <is>
          <t>Análise de sensibilidade global dos parâmetros termofísicos de uma edificação residencial de acordo com o método de simulação do RTQ-R</t>
        </is>
      </c>
      <c r="F205" s="16" t="inlineStr">
        <is>
          <t>SILVA, A. S.; GHISI, E.</t>
        </is>
      </c>
      <c r="G205" s="16" t="inlineStr">
        <is>
          <t>Ambiente Construído (Online), v. 13, p. 135-148, 2013</t>
        </is>
      </c>
      <c r="H205" s="14" t="inlineStr">
        <is>
          <t>http://dx.doi.org/10.1590/s1678-86212013000400010</t>
        </is>
      </c>
      <c r="I205" s="16" t="inlineStr">
        <is>
          <t>Desempenho-Termico, Simulacao-Computacional, Residencial-Unifamiliar, Analise-Sensibilidade, Eficiencia-Energetica</t>
        </is>
      </c>
      <c r="J205" s="16" t="inlineStr">
        <is>
          <t>Desempenho-Termico</t>
        </is>
      </c>
      <c r="K205" s="16" t="inlineStr">
        <is>
          <t>Simulacao-Computacional</t>
        </is>
      </c>
      <c r="L205" s="16" t="inlineStr">
        <is>
          <t>Residencial-Unifamiliar</t>
        </is>
      </c>
      <c r="M205" s="16" t="inlineStr">
        <is>
          <t>Analise-Sensibilidade</t>
        </is>
      </c>
      <c r="N205" s="16" t="inlineStr">
        <is>
          <t>Eficiencia-Energetica</t>
        </is>
      </c>
      <c r="O205" s="16" t="n"/>
      <c r="P205" s="18" t="n"/>
    </row>
    <row r="206" ht="14.25" customHeight="1" s="19">
      <c r="A206" s="18" t="inlineStr">
        <is>
          <t>OK</t>
        </is>
      </c>
      <c r="B206" s="18" t="inlineStr">
        <is>
          <t xml:space="preserve">Priscila </t>
        </is>
      </c>
      <c r="C206" s="16" t="n">
        <v>200</v>
      </c>
      <c r="D206" s="16" t="inlineStr">
        <is>
          <t>2013</t>
        </is>
      </c>
      <c r="E206" s="16" t="inlineStr">
        <is>
          <t>Potencial de economia de energia elétrica através do uso da luz natural e da ventilação híbrida em edifícios comerciais em Florianópolis</t>
        </is>
      </c>
      <c r="F206" s="16" t="inlineStr">
        <is>
          <t>Rupp, Ricardo Forgiarini; GHISI, E.</t>
        </is>
      </c>
      <c r="G206" s="16" t="inlineStr">
        <is>
          <t>Ambiente Construído (Online), v. 13, p. 75-86, 2013</t>
        </is>
      </c>
      <c r="H206" s="14" t="inlineStr">
        <is>
          <t>http://dx.doi.org/10.1590/S1678-86212013000400006</t>
        </is>
      </c>
      <c r="I206" s="16" t="inlineStr">
        <is>
          <t>Iluminacao, Eletricidade, Ventilacao, Comercial-Escritorio, Eficiencia-Energetica, Simulacao-Computacional</t>
        </is>
      </c>
      <c r="J206" s="16" t="inlineStr">
        <is>
          <t>Iluminacao</t>
        </is>
      </c>
      <c r="K206" s="16" t="inlineStr">
        <is>
          <t>Eletricidade</t>
        </is>
      </c>
      <c r="L206" s="16" t="inlineStr">
        <is>
          <t>Ventilacao</t>
        </is>
      </c>
      <c r="M206" s="16" t="inlineStr">
        <is>
          <t>Comercial-Escritorio</t>
        </is>
      </c>
      <c r="N206" s="16" t="inlineStr">
        <is>
          <t>Eficiencia-Energetica</t>
        </is>
      </c>
      <c r="O206" s="16" t="inlineStr">
        <is>
          <t>Simulacao-Computacional</t>
        </is>
      </c>
      <c r="P206" s="18" t="n"/>
    </row>
    <row r="207" ht="14.25" customHeight="1" s="19">
      <c r="A207" s="18" t="inlineStr">
        <is>
          <t>OK</t>
        </is>
      </c>
      <c r="B207" s="18" t="inlineStr">
        <is>
          <t xml:space="preserve">Priscila </t>
        </is>
      </c>
      <c r="C207" s="16" t="n">
        <v>201</v>
      </c>
      <c r="D207" s="16" t="inlineStr">
        <is>
          <t>2012</t>
        </is>
      </c>
      <c r="E207" s="16" t="inlineStr">
        <is>
          <t>Short-term versus long-term rainfall time series in the assessment of potable water savings by using rainwater in houses</t>
        </is>
      </c>
      <c r="F207" s="16" t="inlineStr">
        <is>
          <t>GHISI, E.; CARDOSO, Karla Albino; Rupp, Ricardo Forgiarini</t>
        </is>
      </c>
      <c r="G207" s="16" t="inlineStr">
        <is>
          <t>Journal of Environmental Management, v. 100, p. 109-119, 2012</t>
        </is>
      </c>
      <c r="H207" s="14" t="inlineStr">
        <is>
          <t>http://dx.doi.org/10.1016/j.jenvman.2011.12.031</t>
        </is>
      </c>
      <c r="I207" s="16" t="inlineStr">
        <is>
          <t>Agua-Pluvial, Agua-Potavel, Simulacao-Computacional, Precipitacao, Residencial-Unifamiliar, Aproveitamento-agua-chuva</t>
        </is>
      </c>
      <c r="J207" s="16" t="inlineStr">
        <is>
          <t>Agua-Pluvial</t>
        </is>
      </c>
      <c r="K207" s="16" t="inlineStr">
        <is>
          <t>Agua-Potavel</t>
        </is>
      </c>
      <c r="L207" s="16" t="inlineStr">
        <is>
          <t>Simulacao-Computacional</t>
        </is>
      </c>
      <c r="M207" s="16" t="inlineStr">
        <is>
          <t>Precipitacao</t>
        </is>
      </c>
      <c r="N207" s="16" t="inlineStr">
        <is>
          <t>Residencial-Unifamiliar</t>
        </is>
      </c>
      <c r="O207" s="16" t="inlineStr">
        <is>
          <t>Aproveitamento-agua-chuva</t>
        </is>
      </c>
      <c r="P207" s="18" t="n"/>
    </row>
    <row r="208" ht="14.25" customHeight="1" s="19">
      <c r="A208" s="18" t="inlineStr">
        <is>
          <t>OK</t>
        </is>
      </c>
      <c r="B208" s="18" t="inlineStr">
        <is>
          <t xml:space="preserve">Priscila </t>
        </is>
      </c>
      <c r="C208" s="16" t="n">
        <v>202</v>
      </c>
      <c r="D208" s="16" t="inlineStr">
        <is>
          <t>2012</t>
        </is>
      </c>
      <c r="E208" s="16" t="inlineStr">
        <is>
          <t>Potable Water Savings by Using Rainwater for Non-Potable Uses in Houses</t>
        </is>
      </c>
      <c r="F208" s="16" t="inlineStr">
        <is>
          <t>SOUZA, E.L.; GHISI, E.</t>
        </is>
      </c>
      <c r="G208" s="16" t="inlineStr">
        <is>
          <t>Water, v. 4, p. 607-628, 2012</t>
        </is>
      </c>
      <c r="H208" s="14" t="inlineStr">
        <is>
          <t>http://dx.doi.org/10.3390/w4030607</t>
        </is>
      </c>
      <c r="I208" s="16" t="inlineStr">
        <is>
          <t>Agua-Potavel, Agua-Pluvial, Residencial-Unifamiliar, Simulacao-Computacional, Aproveitamento-agua-chuva</t>
        </is>
      </c>
      <c r="J208" s="16" t="inlineStr">
        <is>
          <t>Agua-Potavel</t>
        </is>
      </c>
      <c r="K208" s="16" t="inlineStr">
        <is>
          <t>Agua-Pluvial</t>
        </is>
      </c>
      <c r="L208" s="16" t="inlineStr">
        <is>
          <t>Residencial-Unifamiliar</t>
        </is>
      </c>
      <c r="M208" s="16" t="inlineStr">
        <is>
          <t>Simulacao-Computacional</t>
        </is>
      </c>
      <c r="N208" s="16" t="inlineStr">
        <is>
          <t>Aproveitamento-agua-chuva</t>
        </is>
      </c>
      <c r="O208" s="16" t="n"/>
      <c r="P208" s="18" t="n"/>
    </row>
    <row r="209" ht="14.25" customHeight="1" s="19">
      <c r="A209" s="18" t="inlineStr">
        <is>
          <t>OK</t>
        </is>
      </c>
      <c r="B209" s="18" t="inlineStr">
        <is>
          <t xml:space="preserve">Priscila </t>
        </is>
      </c>
      <c r="C209" s="16" t="n">
        <v>203</v>
      </c>
      <c r="D209" s="16" t="inlineStr">
        <is>
          <t>2012</t>
        </is>
      </c>
      <c r="E209" s="16" t="inlineStr">
        <is>
          <t>Método para quantificação do consumo energético no ciclo de vida de equipamentos hidrossanitários</t>
        </is>
      </c>
      <c r="F209" s="16" t="inlineStr">
        <is>
          <t>KALBUSCH, A; GHISI, E.</t>
        </is>
      </c>
      <c r="G209" s="16" t="inlineStr">
        <is>
          <t>Ambiente Construído (Online), v. 12, p. 57-73, 2012</t>
        </is>
      </c>
      <c r="H209" s="14" t="inlineStr">
        <is>
          <t>http://dx.doi.org/10.1590/s1678-86212012000300005</t>
        </is>
      </c>
      <c r="I209" s="16" t="inlineStr">
        <is>
          <t>ACV, Eletricidade, Equipamento-Hidrossanitario</t>
        </is>
      </c>
      <c r="J209" s="16" t="inlineStr">
        <is>
          <t>ACV</t>
        </is>
      </c>
      <c r="K209" s="16" t="inlineStr">
        <is>
          <t>Eletricidade</t>
        </is>
      </c>
      <c r="L209" s="16" t="inlineStr">
        <is>
          <t>Equipamento-Hidrossanitario</t>
        </is>
      </c>
      <c r="M209" s="16" t="n"/>
      <c r="N209" s="16" t="n"/>
      <c r="O209" s="16" t="n"/>
      <c r="P209" s="18" t="n"/>
    </row>
    <row r="210" ht="14.25" customHeight="1" s="19">
      <c r="A210" s="18" t="inlineStr">
        <is>
          <t>OK</t>
        </is>
      </c>
      <c r="B210" s="18" t="inlineStr">
        <is>
          <t xml:space="preserve">Priscila </t>
        </is>
      </c>
      <c r="C210" s="16" t="n">
        <v>204</v>
      </c>
      <c r="D210" s="16" t="inlineStr">
        <is>
          <t>2011</t>
        </is>
      </c>
      <c r="E210" s="16" t="inlineStr">
        <is>
          <t>Potential for electricity savings by reducing potable water consumption in a city scale</t>
        </is>
      </c>
      <c r="F210" s="16" t="inlineStr">
        <is>
          <t>PROENÇA, Lúcio Costa; GHISI, E.; TAVARES, D. F.; COELHO, Gabriel Marcon</t>
        </is>
      </c>
      <c r="G210" s="16" t="inlineStr">
        <is>
          <t>Resources, Conservation and Recycling, v. 55, p. 960-965, 2011</t>
        </is>
      </c>
      <c r="H210" s="14" t="inlineStr">
        <is>
          <t>http://dx.doi.org/10.1016/j.resconrec.2011.05.003</t>
        </is>
      </c>
      <c r="I210" s="16" t="inlineStr">
        <is>
          <t>Eletricidade, Agua-Potavel, Agua-Cinza, Agua-Pluvial, Aproveitamento-agua-chuva</t>
        </is>
      </c>
      <c r="J210" s="16" t="inlineStr">
        <is>
          <t>Eletricidade</t>
        </is>
      </c>
      <c r="K210" s="16" t="inlineStr">
        <is>
          <t>Agua-Potavel</t>
        </is>
      </c>
      <c r="L210" s="16" t="inlineStr">
        <is>
          <t>Agua-Cinza</t>
        </is>
      </c>
      <c r="M210" s="16" t="inlineStr">
        <is>
          <t>Agua-Pluvial</t>
        </is>
      </c>
      <c r="N210" s="16" t="inlineStr">
        <is>
          <t>Aproveitamento-agua-chuva</t>
        </is>
      </c>
      <c r="O210" s="16" t="n"/>
      <c r="P210" s="18" t="n"/>
    </row>
    <row r="211" ht="14.25" customHeight="1" s="19">
      <c r="A211" s="18" t="inlineStr">
        <is>
          <t>OK</t>
        </is>
      </c>
      <c r="B211" s="18" t="inlineStr">
        <is>
          <t xml:space="preserve">Priscila </t>
        </is>
      </c>
      <c r="C211" s="16" t="n">
        <v>205</v>
      </c>
      <c r="D211" s="16" t="inlineStr">
        <is>
          <t>2011</t>
        </is>
      </c>
      <c r="E211" s="16" t="inlineStr">
        <is>
          <t>The influence of the envelope on the thermal performance of ventilated and occupied houses</t>
        </is>
      </c>
      <c r="F211" s="16" t="inlineStr">
        <is>
          <t>PEREIRA, Cláudia Donald; GHISI, E.</t>
        </is>
      </c>
      <c r="G211" s="16" t="inlineStr">
        <is>
          <t>Energy and Buildings, v. 43, p. 3391-3399, 2011</t>
        </is>
      </c>
      <c r="H211" s="14" t="inlineStr">
        <is>
          <t>http://dx.doi.org/10.1016/j.enbuild.2011.09.001</t>
        </is>
      </c>
      <c r="I211" s="16" t="inlineStr">
        <is>
          <t>Envoltoria, Desempenho-Termico, Residencial-Unifamiliar, Simulacao-Computacional, Ventilacao</t>
        </is>
      </c>
      <c r="J211" s="16" t="inlineStr">
        <is>
          <t>Envoltoria</t>
        </is>
      </c>
      <c r="K211" s="16" t="inlineStr">
        <is>
          <t>Desempenho-Termico</t>
        </is>
      </c>
      <c r="L211" s="16" t="inlineStr">
        <is>
          <t>Residencial-Unifamiliar</t>
        </is>
      </c>
      <c r="M211" s="16" t="inlineStr">
        <is>
          <t>Simulacao-Computacional</t>
        </is>
      </c>
      <c r="N211" s="16" t="inlineStr">
        <is>
          <t>Ventilacao</t>
        </is>
      </c>
      <c r="O211" s="16" t="n"/>
      <c r="P211" s="18" t="n"/>
    </row>
    <row r="212" ht="14.25" customHeight="1" s="19">
      <c r="A212" s="18" t="inlineStr">
        <is>
          <t>OK</t>
        </is>
      </c>
      <c r="B212" s="18" t="inlineStr">
        <is>
          <t xml:space="preserve">Priscila </t>
        </is>
      </c>
      <c r="C212" s="16" t="n">
        <v>206</v>
      </c>
      <c r="D212" s="16" t="inlineStr">
        <is>
          <t>2011</t>
        </is>
      </c>
      <c r="E212" s="16" t="inlineStr">
        <is>
          <t>Comparação de métodos para dimensionamento de reservatórios de água pluvial</t>
        </is>
      </c>
      <c r="F212" s="16" t="inlineStr">
        <is>
          <t>GHISI, E.; RUPP, R.F.; MUNARIM, Ulisses</t>
        </is>
      </c>
      <c r="G212" s="16" t="inlineStr">
        <is>
          <t>Ambiente Construído (Online), v. 11, p. 47-64, 2011</t>
        </is>
      </c>
      <c r="H212" s="14" t="inlineStr">
        <is>
          <t>http://dx.doi.org/10.1590/s1678-86212011000400005</t>
        </is>
      </c>
      <c r="I212" s="16" t="inlineStr">
        <is>
          <t>Agua-Pluvial, Aproveitamento-agua-chuva, Simulacao-Computacional, Reservatorio</t>
        </is>
      </c>
      <c r="J212" s="16" t="inlineStr">
        <is>
          <t>Agua-Pluvial</t>
        </is>
      </c>
      <c r="K212" s="16" t="inlineStr">
        <is>
          <t>Aproveitamento-agua-chuva</t>
        </is>
      </c>
      <c r="L212" s="16" t="inlineStr">
        <is>
          <t>Simulacao-Computacional</t>
        </is>
      </c>
      <c r="M212" s="16" t="inlineStr">
        <is>
          <t>Reservatorio</t>
        </is>
      </c>
      <c r="N212" s="16" t="n"/>
      <c r="O212" s="16" t="n"/>
      <c r="P212" s="18" t="n"/>
    </row>
    <row r="213" ht="14.25" customHeight="1" s="19">
      <c r="A213" s="18" t="inlineStr">
        <is>
          <t>OK</t>
        </is>
      </c>
      <c r="B213" s="18" t="inlineStr">
        <is>
          <t xml:space="preserve">Priscila </t>
        </is>
      </c>
      <c r="C213" s="16" t="n">
        <v>207</v>
      </c>
      <c r="D213" s="16" t="inlineStr">
        <is>
          <t>2011</t>
        </is>
      </c>
      <c r="E213" s="16" t="inlineStr">
        <is>
          <t>Potencial de economia de água em duas escolas em Florianópolis, SC</t>
        </is>
      </c>
      <c r="F213" s="16" t="inlineStr">
        <is>
          <t>GHISI, E.; FASOLA, G.B.; MARINOSKI, Ana Kelly; BORINELLI, J.B.</t>
        </is>
      </c>
      <c r="G213" s="16" t="inlineStr">
        <is>
          <t>Ambiente Construído (Online), v. 11, p. 65-78, 2011</t>
        </is>
      </c>
      <c r="H213" s="14" t="inlineStr">
        <is>
          <t>http://dx.doi.org/10.1590/s1678-86212011000400006</t>
        </is>
      </c>
      <c r="I213" s="16" t="inlineStr">
        <is>
          <t>Agua-Potavel, Escola-Universidade, Aproveitamento-agua-chuva, Simulacao-Computacional, Usos-Finais, Agua-Pluvial</t>
        </is>
      </c>
      <c r="J213" s="16" t="inlineStr">
        <is>
          <t>Agua-Potavel</t>
        </is>
      </c>
      <c r="K213" s="16" t="inlineStr">
        <is>
          <t>Escola-Universidade</t>
        </is>
      </c>
      <c r="L213" s="16" t="inlineStr">
        <is>
          <t>Aproveitamento-agua-chuva</t>
        </is>
      </c>
      <c r="M213" s="16" t="inlineStr">
        <is>
          <t>Simulacao-Computacional</t>
        </is>
      </c>
      <c r="N213" s="16" t="inlineStr">
        <is>
          <t>Usos-Finais</t>
        </is>
      </c>
      <c r="O213" s="16" t="inlineStr">
        <is>
          <t>Agua-Pluvial</t>
        </is>
      </c>
      <c r="P213" s="18" t="n"/>
    </row>
    <row r="214" ht="14.25" customHeight="1" s="19">
      <c r="A214" s="18" t="inlineStr">
        <is>
          <t>OK</t>
        </is>
      </c>
      <c r="B214" s="18" t="inlineStr">
        <is>
          <t xml:space="preserve">Priscila </t>
        </is>
      </c>
      <c r="C214" s="16" t="n">
        <v>208</v>
      </c>
      <c r="D214" s="16" t="inlineStr">
        <is>
          <t>2010</t>
        </is>
      </c>
      <c r="E214" s="16" t="inlineStr">
        <is>
          <t>Water end-uses in Brazilian office buildings</t>
        </is>
      </c>
      <c r="F214" s="16" t="inlineStr">
        <is>
          <t>PROENÇA, Lúcio Costa; GHISI, E.</t>
        </is>
      </c>
      <c r="G214" s="16" t="inlineStr">
        <is>
          <t>Resources, Conservation and Recycling, v. 54, p. 489-500, 2010</t>
        </is>
      </c>
      <c r="H214" s="14" t="inlineStr">
        <is>
          <t>http://dx.doi.org/10.1016/j.resconrec.2009.10.005</t>
        </is>
      </c>
      <c r="I214" s="16" t="inlineStr">
        <is>
          <t>Usos-Finais, Agua-Potavel, Comercial-Escritorio, Analise-Sensibilidade</t>
        </is>
      </c>
      <c r="J214" s="16" t="inlineStr">
        <is>
          <t>Usos-Finais</t>
        </is>
      </c>
      <c r="K214" s="16" t="inlineStr">
        <is>
          <t>Agua-Potavel</t>
        </is>
      </c>
      <c r="L214" s="16" t="inlineStr">
        <is>
          <t>Comercial-Escritorio</t>
        </is>
      </c>
      <c r="M214" s="16" t="inlineStr">
        <is>
          <t>Analise-Sensibilidade</t>
        </is>
      </c>
      <c r="N214" s="16" t="n"/>
      <c r="O214" s="16" t="n"/>
      <c r="P214" s="18" t="n"/>
    </row>
    <row r="215" ht="14.25" customHeight="1" s="19">
      <c r="A215" s="18" t="inlineStr">
        <is>
          <t>OK</t>
        </is>
      </c>
      <c r="B215" s="18" t="inlineStr">
        <is>
          <t xml:space="preserve">Priscila </t>
        </is>
      </c>
      <c r="C215" s="16" t="n">
        <v>209</v>
      </c>
      <c r="D215" s="16" t="inlineStr">
        <is>
          <t>2010</t>
        </is>
      </c>
      <c r="E215" s="16" t="inlineStr">
        <is>
          <t>Analysis of daylight calculated using the EnergyPlus programme</t>
        </is>
      </c>
      <c r="F215" s="16" t="inlineStr">
        <is>
          <t>RAMOS, Greici; GHISI, E.</t>
        </is>
      </c>
      <c r="G215" s="16" t="inlineStr">
        <is>
          <t>Renewable &amp; Sustainable Energy Reviews, v. 14, p. 1948-1958, 2010</t>
        </is>
      </c>
      <c r="H215" s="14" t="inlineStr">
        <is>
          <t>http://dx.doi.org/10.1016/j.rser.2010.03.040</t>
        </is>
      </c>
      <c r="I215" s="16" t="inlineStr">
        <is>
          <t>Iluminacao, Simulacao-Computacional, Eficiencia-Energetica</t>
        </is>
      </c>
      <c r="J215" s="16" t="inlineStr">
        <is>
          <t>Iluminacao</t>
        </is>
      </c>
      <c r="K215" s="16" t="inlineStr">
        <is>
          <t>Simulacao-Computacional</t>
        </is>
      </c>
      <c r="L215" s="18" t="inlineStr">
        <is>
          <t>Eficiencia-Energetica</t>
        </is>
      </c>
      <c r="M215" s="16" t="n"/>
      <c r="N215" s="16" t="n"/>
      <c r="O215" s="16" t="n"/>
      <c r="P215" s="18" t="n"/>
    </row>
    <row r="216" ht="14.25" customHeight="1" s="19">
      <c r="A216" s="18" t="inlineStr">
        <is>
          <t>OK</t>
        </is>
      </c>
      <c r="B216" s="18" t="inlineStr">
        <is>
          <t xml:space="preserve">Priscila </t>
        </is>
      </c>
      <c r="C216" s="16" t="n">
        <v>210</v>
      </c>
      <c r="D216" s="16" t="inlineStr">
        <is>
          <t>2010</t>
        </is>
      </c>
      <c r="E216" s="16" t="inlineStr">
        <is>
          <t>Avaliação do cálculo da iluminação natural realizada pelo programa EnergyPlus</t>
        </is>
      </c>
      <c r="F216" s="16" t="inlineStr">
        <is>
          <t>GHISI, E.; RAMOS, Greici</t>
        </is>
      </c>
      <c r="G216" s="16" t="inlineStr">
        <is>
          <t>Ambiente Construído (Online), v. 10, p. 157-169, 2010</t>
        </is>
      </c>
      <c r="H216" s="14" t="inlineStr">
        <is>
          <t>http://dx.doi.org/10.1590/S1678-86212010000200011</t>
        </is>
      </c>
      <c r="I216" s="16" t="inlineStr">
        <is>
          <t>Iluminacao, Simulacao-Computacional, Desempenho-Termico, Eficiencia-Energetica</t>
        </is>
      </c>
      <c r="J216" s="16" t="inlineStr">
        <is>
          <t>Iluminacao</t>
        </is>
      </c>
      <c r="K216" s="16" t="inlineStr">
        <is>
          <t>Simulacao-Computacional</t>
        </is>
      </c>
      <c r="L216" s="16" t="inlineStr">
        <is>
          <t>Desempenho-Termico</t>
        </is>
      </c>
      <c r="M216" s="18" t="inlineStr">
        <is>
          <t>Eficiencia-Energetica</t>
        </is>
      </c>
      <c r="N216" s="16" t="n"/>
      <c r="O216" s="16" t="n"/>
      <c r="P216" s="18" t="n"/>
    </row>
    <row r="217" ht="14.25" customHeight="1" s="19">
      <c r="A217" s="18" t="inlineStr">
        <is>
          <t>OK</t>
        </is>
      </c>
      <c r="B217" s="18" t="inlineStr">
        <is>
          <t xml:space="preserve">Priscila </t>
        </is>
      </c>
      <c r="C217" s="16" t="n">
        <v>211</v>
      </c>
      <c r="D217" s="16" t="inlineStr">
        <is>
          <t>2010</t>
        </is>
      </c>
      <c r="E217" s="16" t="inlineStr">
        <is>
          <t xml:space="preserve">Parameters Influencing the Sizing of Rainwater Tanks </t>
        </is>
      </c>
      <c r="F217" s="16" t="inlineStr">
        <is>
          <t>GHISI, E</t>
        </is>
      </c>
      <c r="G217" s="16" t="inlineStr">
        <is>
          <t>Water Resources Management, v. 24, p. 2381-2403, 2010</t>
        </is>
      </c>
      <c r="H217" s="14" t="inlineStr">
        <is>
          <t>http://dx.doi.org/10.1007/s11269-009-9557-4</t>
        </is>
      </c>
      <c r="I217" s="16" t="inlineStr">
        <is>
          <t>Agua-Pluvial, Simulacao-Computacional, Reservatorio, Aproveitamento-agua-chuva</t>
        </is>
      </c>
      <c r="J217" s="16" t="inlineStr">
        <is>
          <t>Agua-Pluvial</t>
        </is>
      </c>
      <c r="K217" s="16" t="inlineStr">
        <is>
          <t>Simulacao-Computacional</t>
        </is>
      </c>
      <c r="L217" s="16" t="inlineStr">
        <is>
          <t>Reservatorio</t>
        </is>
      </c>
      <c r="M217" s="16" t="inlineStr">
        <is>
          <t>Aproveitamento-agua-chuva</t>
        </is>
      </c>
      <c r="N217" s="16" t="n"/>
      <c r="O217" s="16" t="n"/>
      <c r="P217" s="18" t="n"/>
    </row>
    <row r="218" ht="14.25" customHeight="1" s="19">
      <c r="A218" s="18" t="inlineStr">
        <is>
          <t>OK</t>
        </is>
      </c>
      <c r="B218" s="18" t="inlineStr">
        <is>
          <t xml:space="preserve">Priscila </t>
        </is>
      </c>
      <c r="C218" s="16" t="n">
        <v>212</v>
      </c>
      <c r="D218" s="16" t="inlineStr">
        <is>
          <t>2009</t>
        </is>
      </c>
      <c r="E218" s="16" t="inlineStr">
        <is>
          <t>Estimativa de usos finais de água em quatro edifícios de escritórios localizados em Florianópolis</t>
        </is>
      </c>
      <c r="F218" s="16" t="inlineStr">
        <is>
          <t>PROENÇA, Lúcio Costa; GHISI, E.</t>
        </is>
      </c>
      <c r="G218" s="16" t="inlineStr">
        <is>
          <t>Ambiente Construído (Online), v. 9, p. 95-108, 2009.  DOI</t>
        </is>
      </c>
      <c r="H218" s="14" t="inlineStr">
        <is>
          <t>https://seer.ufrgs.br/index.php/ambienteconstruido/article/view/7718</t>
        </is>
      </c>
      <c r="I218" s="16" t="inlineStr">
        <is>
          <t>Usos-Finais, Agua-Potavel, Comercial-Escritorio, Analise-Sensibilidade</t>
        </is>
      </c>
      <c r="J218" s="16" t="inlineStr">
        <is>
          <t>Usos-Finais</t>
        </is>
      </c>
      <c r="K218" s="16" t="inlineStr">
        <is>
          <t>Agua-Potavel</t>
        </is>
      </c>
      <c r="L218" s="16" t="inlineStr">
        <is>
          <t>Comercial-Escritorio</t>
        </is>
      </c>
      <c r="M218" s="16" t="inlineStr">
        <is>
          <t>Analise-Sensibilidade</t>
        </is>
      </c>
      <c r="N218" s="16" t="n"/>
      <c r="O218" s="16" t="n"/>
      <c r="P218" s="18" t="n"/>
    </row>
    <row r="219" ht="14.25" customHeight="1" s="19">
      <c r="A219" s="18" t="inlineStr">
        <is>
          <t>OK</t>
        </is>
      </c>
      <c r="B219" s="18" t="inlineStr">
        <is>
          <t xml:space="preserve">Priscila </t>
        </is>
      </c>
      <c r="C219" s="16" t="n">
        <v>213</v>
      </c>
      <c r="D219" s="16" t="inlineStr">
        <is>
          <t>2009</t>
        </is>
      </c>
      <c r="E219" s="16" t="inlineStr">
        <is>
          <t>Rainwater harvesting in petrol stations in Brasília: potential for potable water savings and investment feasibility analysis</t>
        </is>
      </c>
      <c r="F219" s="16" t="inlineStr">
        <is>
          <t>GHISI, E.; TAVARES, D. F.; ROCHA, Vinicius Luis</t>
        </is>
      </c>
      <c r="G219" s="16" t="inlineStr">
        <is>
          <t>Resources, Conservation and Recycling, v. 54, p. 79-85, 2009</t>
        </is>
      </c>
      <c r="H219" s="14" t="inlineStr">
        <is>
          <t>http://dx.doi.org/10.1016/j.resconrec.2009.06.010</t>
        </is>
      </c>
      <c r="I219" s="16" t="inlineStr">
        <is>
          <t>Agua-Pluvial, CCV, Industrial-Servicos, Aproveitamento-agua-chuva</t>
        </is>
      </c>
      <c r="J219" s="16" t="inlineStr">
        <is>
          <t>Agua-Pluvial</t>
        </is>
      </c>
      <c r="K219" s="16" t="inlineStr">
        <is>
          <t>CCV</t>
        </is>
      </c>
      <c r="L219" s="16" t="inlineStr">
        <is>
          <t>Industrial-Servicos</t>
        </is>
      </c>
      <c r="M219" s="16" t="inlineStr">
        <is>
          <t>Aproveitamento-agua-chuva</t>
        </is>
      </c>
      <c r="N219" s="16" t="n"/>
      <c r="O219" s="16" t="n"/>
      <c r="P219" s="18" t="n"/>
    </row>
    <row r="220" ht="14.25" customHeight="1" s="19">
      <c r="A220" s="18" t="inlineStr">
        <is>
          <t>OK</t>
        </is>
      </c>
      <c r="B220" s="18" t="inlineStr">
        <is>
          <t xml:space="preserve">Priscila </t>
        </is>
      </c>
      <c r="C220" s="16" t="n">
        <v>214</v>
      </c>
      <c r="D220" s="16" t="inlineStr">
        <is>
          <t>2008</t>
        </is>
      </c>
      <c r="E220" s="16" t="inlineStr">
        <is>
          <t>Aproveitamento de água pluvial para fins não potáveis em instituição de ensino: estudo de caso em Florianópolis - SC</t>
        </is>
      </c>
      <c r="F220" s="16" t="inlineStr">
        <is>
          <t>MARINOSKI, Ana Kelly; GHISI, E.</t>
        </is>
      </c>
      <c r="G220" s="16" t="inlineStr">
        <is>
          <t>Ambiente Construído (Online), v. 8, p. 67-84, 2008.  DOI</t>
        </is>
      </c>
      <c r="H220" s="14" t="inlineStr">
        <is>
          <t>https://seer.ufrgs.br/ambienteconstruido/article/view/5355</t>
        </is>
      </c>
      <c r="I220" s="16" t="inlineStr">
        <is>
          <t>Agua-Pluvial, Escola-Universidade, Usos-Finais, Simulacao-Computacional, Aproveitamento-agua-chuva</t>
        </is>
      </c>
      <c r="J220" s="16" t="inlineStr">
        <is>
          <t>Agua-Pluvial</t>
        </is>
      </c>
      <c r="K220" s="16" t="inlineStr">
        <is>
          <t>Escola-Universidade</t>
        </is>
      </c>
      <c r="L220" s="16" t="inlineStr">
        <is>
          <t>Usos-Finais</t>
        </is>
      </c>
      <c r="M220" s="16" t="inlineStr">
        <is>
          <t>Simulacao-Computacional</t>
        </is>
      </c>
      <c r="N220" s="16" t="inlineStr">
        <is>
          <t>Aproveitamento-agua-chuva</t>
        </is>
      </c>
      <c r="O220" s="16" t="n"/>
      <c r="P220" s="18" t="n"/>
    </row>
    <row r="221" ht="14.25" customHeight="1" s="19">
      <c r="A221" s="18" t="inlineStr">
        <is>
          <t>OK</t>
        </is>
      </c>
      <c r="B221" s="18" t="inlineStr">
        <is>
          <t xml:space="preserve">Priscila </t>
        </is>
      </c>
      <c r="C221" s="16" t="n">
        <v>215</v>
      </c>
      <c r="D221" s="16" t="inlineStr">
        <is>
          <t>2008</t>
        </is>
      </c>
      <c r="E221" s="16" t="inlineStr">
        <is>
          <t>Comparação entre necessidade e disponibilidade de vento e radiação solar para fins de análise bioclimática de edificações em Florianópolis</t>
        </is>
      </c>
      <c r="F221" s="16" t="inlineStr">
        <is>
          <t>PEÑA, Carolina Canella; GHISI, E.; PEREIRA, Cláudia Donald</t>
        </is>
      </c>
      <c r="G221" s="16" t="inlineStr">
        <is>
          <t>Ambiente Construído (Online), v. 8, p. 87-101, 2008.  DOI</t>
        </is>
      </c>
      <c r="H221" s="14" t="inlineStr">
        <is>
          <t>https://seer.ufrgs.br/index.php/ambienteconstruido/article/view/5379</t>
        </is>
      </c>
      <c r="I221" s="16" t="inlineStr">
        <is>
          <t>Conforto-Termico, Ventilacao, Radiacao-solar, Simulacao-Computacional</t>
        </is>
      </c>
      <c r="J221" s="16" t="inlineStr">
        <is>
          <t>Conforto-Termico</t>
        </is>
      </c>
      <c r="K221" s="16" t="inlineStr">
        <is>
          <t>Ventilacao</t>
        </is>
      </c>
      <c r="L221" s="16" t="inlineStr">
        <is>
          <t>Radiacao-solar</t>
        </is>
      </c>
      <c r="M221" s="16" t="inlineStr">
        <is>
          <t>Simulacao-Computacional</t>
        </is>
      </c>
      <c r="N221" s="16" t="n"/>
      <c r="O221" s="16" t="n"/>
      <c r="P221" s="18" t="n"/>
    </row>
    <row r="222" ht="14.25" customHeight="1" s="19">
      <c r="A222" s="18" t="inlineStr">
        <is>
          <t>OK</t>
        </is>
      </c>
      <c r="B222" s="18" t="inlineStr">
        <is>
          <t xml:space="preserve">Priscila </t>
        </is>
      </c>
      <c r="C222" s="16" t="n">
        <v>216</v>
      </c>
      <c r="D222" s="16" t="inlineStr">
        <is>
          <t>2007</t>
        </is>
      </c>
      <c r="E222" s="16" t="inlineStr">
        <is>
          <t>Thermal performance of bedrooms in a multi-storey residential building in southern Brazil</t>
        </is>
      </c>
      <c r="F222" s="16" t="inlineStr">
        <is>
          <t>GHISI, E.; MASSIGNANI, Ricardo</t>
        </is>
      </c>
      <c r="G222" s="16" t="inlineStr">
        <is>
          <t>Building and Environment, Inglaterra, v. 42, n.2, p. 730-742, 2007</t>
        </is>
      </c>
      <c r="H222" s="14" t="inlineStr">
        <is>
          <t>http://dx.doi.org/10.1016/j.buildenv.2005.10.026</t>
        </is>
      </c>
      <c r="I222" s="16" t="inlineStr">
        <is>
          <t>Desempenho-Termico, Residencial-Multifamiliar, Envoltoria</t>
        </is>
      </c>
      <c r="J222" s="16" t="inlineStr">
        <is>
          <t>Desempenho-Termico</t>
        </is>
      </c>
      <c r="K222" s="16" t="inlineStr">
        <is>
          <t>Residencial-Multifamiliar</t>
        </is>
      </c>
      <c r="L222" s="16" t="inlineStr">
        <is>
          <t>Envoltoria</t>
        </is>
      </c>
      <c r="M222" s="16" t="n"/>
      <c r="N222" s="16" t="n"/>
      <c r="O222" s="16" t="n"/>
      <c r="P222" s="18" t="n"/>
    </row>
    <row r="223" ht="14.25" customHeight="1" s="19">
      <c r="A223" s="18" t="inlineStr">
        <is>
          <t>OK</t>
        </is>
      </c>
      <c r="B223" s="18" t="inlineStr">
        <is>
          <t xml:space="preserve">Priscila </t>
        </is>
      </c>
      <c r="C223" s="16" t="n">
        <v>217</v>
      </c>
      <c r="D223" s="16" t="inlineStr">
        <is>
          <t>2007</t>
        </is>
      </c>
      <c r="E223" s="16" t="inlineStr">
        <is>
          <t>Potential for potable water savings by combining the use of rainwater and greywater in houses in southern Brazil</t>
        </is>
      </c>
      <c r="F223" s="16" t="inlineStr">
        <is>
          <t>GHISI, E.; OLIVEIRA, Sulayre Mengotti</t>
        </is>
      </c>
      <c r="G223" s="16" t="inlineStr">
        <is>
          <t>Building and Environment, Inglaterra, v. 42, p. 1731-1742, 2007</t>
        </is>
      </c>
      <c r="H223" s="14" t="inlineStr">
        <is>
          <t>http://dx.doi.org/10.1016/j.buildenv.2006.02.001</t>
        </is>
      </c>
      <c r="I223" s="16" t="inlineStr">
        <is>
          <t>Agua-Potavel, Agua-Pluvial, Agua-Cinza, Residencial-Unifamiliar, Usos-Finais, Simulacao-Computacional, Aproveitamento-agua-chuva</t>
        </is>
      </c>
      <c r="J223" s="16" t="inlineStr">
        <is>
          <t>Agua-Potavel</t>
        </is>
      </c>
      <c r="K223" s="16" t="inlineStr">
        <is>
          <t>Agua-Pluvial</t>
        </is>
      </c>
      <c r="L223" s="16" t="inlineStr">
        <is>
          <t>Agua-Cinza</t>
        </is>
      </c>
      <c r="M223" s="16" t="inlineStr">
        <is>
          <t>Residencial-Unifamiliar</t>
        </is>
      </c>
      <c r="N223" s="16" t="inlineStr">
        <is>
          <t>Usos-Finais</t>
        </is>
      </c>
      <c r="O223" s="16" t="inlineStr">
        <is>
          <t>Simulacao-Computacional</t>
        </is>
      </c>
      <c r="P223" s="18" t="inlineStr">
        <is>
          <t>Aproveitamento-agua-chuva</t>
        </is>
      </c>
    </row>
    <row r="224" ht="14.25" customHeight="1" s="19">
      <c r="A224" s="18" t="inlineStr">
        <is>
          <t>OK</t>
        </is>
      </c>
      <c r="B224" s="18" t="inlineStr">
        <is>
          <t xml:space="preserve">Priscila </t>
        </is>
      </c>
      <c r="C224" s="16" t="n">
        <v>218</v>
      </c>
      <c r="D224" s="16" t="inlineStr">
        <is>
          <t>2007</t>
        </is>
      </c>
      <c r="E224" s="16" t="inlineStr">
        <is>
          <t>Rainwater tank capacity and potential for potable water savings by using rainwater in the residential sector of southeastern Brazil</t>
        </is>
      </c>
      <c r="F224" s="16" t="inlineStr">
        <is>
          <t>GHISI, E.; BRESSAN, Diego Lapolli; MARTINI, Maurício</t>
        </is>
      </c>
      <c r="G224" s="16" t="inlineStr">
        <is>
          <t>Building and Environment, v. 42, p. 1654-1666, 2007</t>
        </is>
      </c>
      <c r="H224" s="14" t="inlineStr">
        <is>
          <t>http://dx.doi.org/10.1016/j.buildenv.2006.02.007</t>
        </is>
      </c>
      <c r="I224" s="16" t="inlineStr">
        <is>
          <t>Agua-Pluvial, Agua-Potavel, Simulacao-Computacional, Reservatorio, Aproveitamento-agua-chuva</t>
        </is>
      </c>
      <c r="J224" s="16" t="inlineStr">
        <is>
          <t>Agua-Pluvial</t>
        </is>
      </c>
      <c r="K224" s="16" t="inlineStr">
        <is>
          <t>Agua-Potavel</t>
        </is>
      </c>
      <c r="L224" s="16" t="inlineStr">
        <is>
          <t>Simulacao-Computacional</t>
        </is>
      </c>
      <c r="M224" s="16" t="inlineStr">
        <is>
          <t>Reservatorio</t>
        </is>
      </c>
      <c r="N224" s="16" t="inlineStr">
        <is>
          <t>Aproveitamento-agua-chuva</t>
        </is>
      </c>
      <c r="O224" s="16" t="n"/>
      <c r="P224" s="18" t="n"/>
    </row>
    <row r="225" ht="14.25" customHeight="1" s="19">
      <c r="A225" s="18" t="inlineStr">
        <is>
          <t>OK</t>
        </is>
      </c>
      <c r="B225" s="18" t="inlineStr">
        <is>
          <t xml:space="preserve">Priscila </t>
        </is>
      </c>
      <c r="C225" s="16" t="n">
        <v>219</v>
      </c>
      <c r="D225" s="16" t="inlineStr">
        <is>
          <t>2007</t>
        </is>
      </c>
      <c r="E225" s="16" t="inlineStr">
        <is>
          <t>Potential for potable water savings by using rainwater and greywater in a multi-storey residential building in southern Brazil</t>
        </is>
      </c>
      <c r="F225" s="16" t="inlineStr">
        <is>
          <t>GHISI, E.; FERREIRA, Daniel Fabricio</t>
        </is>
      </c>
      <c r="G225" s="16" t="inlineStr">
        <is>
          <t>Building and Environment, v. 42, p. 2512-2522, 2007</t>
        </is>
      </c>
      <c r="H225" s="14" t="inlineStr">
        <is>
          <t>http://dx.doi.org/10.1016/j.buildenv.2006.07.019</t>
        </is>
      </c>
      <c r="I225" s="16" t="inlineStr">
        <is>
          <t>Agua-Potavel, Agua-Pluvial, Agua-Cinza, Residencial-Multifamiliar, Usos-Finais, Aproveitamento-agua-chuva</t>
        </is>
      </c>
      <c r="J225" s="16" t="inlineStr">
        <is>
          <t>Agua-Potavel</t>
        </is>
      </c>
      <c r="K225" s="16" t="inlineStr">
        <is>
          <t>Agua-Pluvial</t>
        </is>
      </c>
      <c r="L225" s="16" t="inlineStr">
        <is>
          <t>Agua-Cinza</t>
        </is>
      </c>
      <c r="M225" s="16" t="inlineStr">
        <is>
          <t>Residencial-Multifamiliar</t>
        </is>
      </c>
      <c r="N225" s="16" t="inlineStr">
        <is>
          <t>Usos-Finais</t>
        </is>
      </c>
      <c r="O225" s="16" t="inlineStr">
        <is>
          <t>Aproveitamento-agua-chuva</t>
        </is>
      </c>
      <c r="P225" s="18" t="n"/>
    </row>
    <row r="226" ht="14.25" customHeight="1" s="19">
      <c r="A226" s="18" t="inlineStr">
        <is>
          <t>OK</t>
        </is>
      </c>
      <c r="B226" s="18" t="inlineStr">
        <is>
          <t xml:space="preserve">Priscila </t>
        </is>
      </c>
      <c r="C226" s="16" t="n">
        <v>220</v>
      </c>
      <c r="D226" s="16" t="inlineStr">
        <is>
          <t>2007</t>
        </is>
      </c>
      <c r="E226" s="16" t="inlineStr">
        <is>
          <t>Electricity end-uses in the residential sector of Brazil</t>
        </is>
      </c>
      <c r="F226" s="16" t="inlineStr">
        <is>
          <t>GHISI, E.; GOSCH, Samuel; LAMBERTS, Roberto</t>
        </is>
      </c>
      <c r="G226" s="16" t="inlineStr">
        <is>
          <t>Energy Policy, v. 35, p. 4107-4120, 2007</t>
        </is>
      </c>
      <c r="H226" s="14" t="inlineStr">
        <is>
          <t>http://dx.doi.org/10.1016/j.enpol.2007.02.020</t>
        </is>
      </c>
      <c r="I226" s="16" t="inlineStr">
        <is>
          <t>Usos-Finais, Eletricidade, Residencial-Unifamiliar, Residencial-Multifamiliar</t>
        </is>
      </c>
      <c r="J226" s="16" t="inlineStr">
        <is>
          <t>Usos-Finais</t>
        </is>
      </c>
      <c r="K226" s="16" t="inlineStr">
        <is>
          <t>Eletricidade</t>
        </is>
      </c>
      <c r="L226" s="16" t="inlineStr">
        <is>
          <t>Residencial-Unifamiliar</t>
        </is>
      </c>
      <c r="M226" s="16" t="inlineStr">
        <is>
          <t>Residencial-Multifamiliar</t>
        </is>
      </c>
      <c r="N226" s="16" t="n"/>
      <c r="O226" s="16" t="n"/>
      <c r="P226" s="18" t="n"/>
    </row>
    <row r="227" ht="14.25" customHeight="1" s="19">
      <c r="A227" s="18" t="inlineStr">
        <is>
          <t>OK</t>
        </is>
      </c>
      <c r="B227" s="18" t="inlineStr">
        <is>
          <t xml:space="preserve">Priscila </t>
        </is>
      </c>
      <c r="C227" s="16" t="n">
        <v>221</v>
      </c>
      <c r="D227" s="16" t="inlineStr">
        <is>
          <t>2006</t>
        </is>
      </c>
      <c r="E227" s="16" t="inlineStr">
        <is>
          <t>Potential for potable water savings by using rainwater: an analysis over 62 cities in southern Brazil</t>
        </is>
      </c>
      <c r="F227" s="16" t="inlineStr">
        <is>
          <t>GHISI, E.; MONTIBELLER, Andreza; SCHMIDT, Richard Williann</t>
        </is>
      </c>
      <c r="G227" s="16" t="inlineStr">
        <is>
          <t>Building and Environment, Inglaterra, v. 41, n.2, p. 204-210, 2006</t>
        </is>
      </c>
      <c r="H227" s="14" t="inlineStr">
        <is>
          <t>http://dx.doi.org/10.1016/j.buildenv.2005.01.014</t>
        </is>
      </c>
      <c r="I227" s="16" t="inlineStr">
        <is>
          <t>Agua-Potavel, Agua-Pluvial, Residencial-Multifamiliar, Aproveitamento-agua-chuva</t>
        </is>
      </c>
      <c r="J227" s="16" t="inlineStr">
        <is>
          <t>Agua-Potavel</t>
        </is>
      </c>
      <c r="K227" s="16" t="inlineStr">
        <is>
          <t>Agua-Pluvial</t>
        </is>
      </c>
      <c r="L227" s="16" t="inlineStr">
        <is>
          <t>Residencial-Multifamiliar</t>
        </is>
      </c>
      <c r="M227" s="16" t="inlineStr">
        <is>
          <t>Aproveitamento-agua-chuva</t>
        </is>
      </c>
      <c r="N227" s="16" t="n"/>
      <c r="O227" s="16" t="n"/>
      <c r="P227" s="18" t="n"/>
    </row>
    <row r="228" ht="14.25" customHeight="1" s="19">
      <c r="A228" s="18" t="inlineStr">
        <is>
          <t>OK</t>
        </is>
      </c>
      <c r="B228" s="18" t="inlineStr">
        <is>
          <t xml:space="preserve">Priscila </t>
        </is>
      </c>
      <c r="C228" s="16" t="n">
        <v>222</v>
      </c>
      <c r="D228" s="16" t="inlineStr">
        <is>
          <t>2006</t>
        </is>
      </c>
      <c r="E228" s="16" t="inlineStr">
        <is>
          <t>Potential for potable water savings by using rainwater in the residential sector of Brazil.</t>
        </is>
      </c>
      <c r="F228" s="16" t="inlineStr">
        <is>
          <t>GHISI, E</t>
        </is>
      </c>
      <c r="G228" s="16" t="inlineStr">
        <is>
          <t>Building and Environment, Inglaterra, v. 41, n.11, p. 1544-1550, 2006</t>
        </is>
      </c>
      <c r="H228" s="14" t="inlineStr">
        <is>
          <t>http://dx.doi.org/10.1016/j.buildenv.2005.03.018</t>
        </is>
      </c>
      <c r="I228" s="16" t="inlineStr">
        <is>
          <t>Agua-Potavel, Agua-Pluvial, Aproveitamento-agua-chuva, Precipitacao</t>
        </is>
      </c>
      <c r="J228" s="16" t="inlineStr">
        <is>
          <t>Agua-Potavel</t>
        </is>
      </c>
      <c r="K228" s="16" t="inlineStr">
        <is>
          <t>Agua-Pluvial</t>
        </is>
      </c>
      <c r="L228" s="16" t="inlineStr">
        <is>
          <t>Aproveitamento-agua-chuva</t>
        </is>
      </c>
      <c r="M228" s="16" t="inlineStr">
        <is>
          <t>Precipitacao</t>
        </is>
      </c>
      <c r="N228" s="16" t="n"/>
      <c r="O228" s="16" t="n"/>
      <c r="P228" s="18" t="n"/>
    </row>
    <row r="229" ht="14.25" customHeight="1" s="19">
      <c r="A229" s="18" t="inlineStr">
        <is>
          <t>OK</t>
        </is>
      </c>
      <c r="B229" s="18" t="inlineStr">
        <is>
          <t xml:space="preserve">Priscila </t>
        </is>
      </c>
      <c r="C229" s="16" t="n">
        <v>223</v>
      </c>
      <c r="D229" s="16" t="inlineStr">
        <is>
          <t>2006</t>
        </is>
      </c>
      <c r="E229" s="16" t="inlineStr">
        <is>
          <t>Usos finais de água em edifícios públicos localizados em Florianópolis-SC</t>
        </is>
      </c>
      <c r="F229" s="16" t="inlineStr">
        <is>
          <t>KAMMERS, Pauline; GHISI, E.</t>
        </is>
      </c>
      <c r="G229" s="16" t="inlineStr">
        <is>
          <t>Ambiente Construído (Online), Porto Alegre, v. 6, n.1, p. 75-90, 2006.  DOI</t>
        </is>
      </c>
      <c r="H229" s="14" t="inlineStr">
        <is>
          <t>https://seer.ufrgs.br/index.php/ambienteconstruido/article/view/3681</t>
        </is>
      </c>
      <c r="I229" s="16" t="inlineStr">
        <is>
          <t>Usos-Finais, Agua-Potavel, Comercial-Escritorio, Analise-Sensibilidade</t>
        </is>
      </c>
      <c r="J229" s="16" t="inlineStr">
        <is>
          <t>Usos-Finais</t>
        </is>
      </c>
      <c r="K229" s="16" t="inlineStr">
        <is>
          <t>Agua-Potavel</t>
        </is>
      </c>
      <c r="L229" s="16" t="inlineStr">
        <is>
          <t>Comercial-Escritorio</t>
        </is>
      </c>
      <c r="M229" s="16" t="inlineStr">
        <is>
          <t>Analise-Sensibilidade</t>
        </is>
      </c>
      <c r="N229" s="16" t="n"/>
      <c r="O229" s="16" t="n"/>
      <c r="P229" s="18" t="n"/>
    </row>
    <row r="230" ht="14.25" customHeight="1" s="19">
      <c r="A230" s="18" t="inlineStr">
        <is>
          <t>OK</t>
        </is>
      </c>
      <c r="B230" s="18" t="inlineStr">
        <is>
          <t xml:space="preserve">Priscila </t>
        </is>
      </c>
      <c r="C230" s="16" t="n">
        <v>224</v>
      </c>
      <c r="D230" s="16" t="inlineStr">
        <is>
          <t>2006</t>
        </is>
      </c>
      <c r="E230" s="16" t="inlineStr">
        <is>
          <t>Evaluating the potential for energy savings on lighting by integrating fibre optics in buildings</t>
        </is>
      </c>
      <c r="F230" s="16" t="inlineStr">
        <is>
          <t>GHISI, E.; TINKER, John A</t>
        </is>
      </c>
      <c r="G230" s="16" t="inlineStr">
        <is>
          <t>Building and Environment, Inglaterra, v. 41, n.12, p. 1611-1621, 2006</t>
        </is>
      </c>
      <c r="H230" s="14" t="inlineStr">
        <is>
          <t>http://dx.doi.org/10.1016/j.buildenv.2005.06.013</t>
        </is>
      </c>
      <c r="I230" s="16" t="inlineStr">
        <is>
          <t>Iluminacao, Eletricidade, Eficiencia-Energetica</t>
        </is>
      </c>
      <c r="J230" s="16" t="inlineStr">
        <is>
          <t>Iluminacao</t>
        </is>
      </c>
      <c r="K230" s="16" t="inlineStr">
        <is>
          <t>Eletricidade</t>
        </is>
      </c>
      <c r="L230" s="16" t="inlineStr">
        <is>
          <t>Eficiencia-Energetica</t>
        </is>
      </c>
      <c r="M230" s="16" t="n"/>
      <c r="N230" s="16" t="n"/>
      <c r="O230" s="16" t="n"/>
      <c r="P230" s="18" t="n"/>
    </row>
    <row r="231" ht="14.25" customHeight="1" s="19">
      <c r="A231" s="18" t="inlineStr">
        <is>
          <t>OK</t>
        </is>
      </c>
      <c r="B231" s="18" t="inlineStr">
        <is>
          <t xml:space="preserve">Priscila </t>
        </is>
      </c>
      <c r="C231" s="16" t="n">
        <v>225</v>
      </c>
      <c r="D231" s="16" t="inlineStr">
        <is>
          <t>2005</t>
        </is>
      </c>
      <c r="E231" s="16" t="inlineStr">
        <is>
          <t>An Ideal Window Area concept for energy efficient integration of daylight and artificial light in buildings</t>
        </is>
      </c>
      <c r="F231" s="16" t="inlineStr">
        <is>
          <t>GHISI, E.; TINKER, J.</t>
        </is>
      </c>
      <c r="G231" s="16" t="inlineStr">
        <is>
          <t>Building and Environment, Inglaterra, v. 40, n.1, p. 51-61, 2005</t>
        </is>
      </c>
      <c r="H231" s="14" t="inlineStr">
        <is>
          <t>http://dx.doi.org/10.1016/j.buildenv.2004.04.004</t>
        </is>
      </c>
      <c r="I231" s="16" t="inlineStr">
        <is>
          <t>Eficiencia-Energetica, Iluminacao, Eletricidade, Vidros-E-Janelas, Simulacao-Computacional</t>
        </is>
      </c>
      <c r="J231" s="16" t="inlineStr">
        <is>
          <t>Eficiencia-Energetica</t>
        </is>
      </c>
      <c r="K231" s="16" t="inlineStr">
        <is>
          <t>Iluminacao</t>
        </is>
      </c>
      <c r="L231" s="16" t="inlineStr">
        <is>
          <t>Eletricidade</t>
        </is>
      </c>
      <c r="M231" s="16" t="inlineStr">
        <is>
          <t>Vidros-E-Janelas</t>
        </is>
      </c>
      <c r="N231" s="16" t="inlineStr">
        <is>
          <t>Simulacao-Computacional</t>
        </is>
      </c>
      <c r="O231" s="16" t="n"/>
      <c r="P231" s="18" t="n"/>
    </row>
    <row r="232" ht="14.25" customHeight="1" s="19">
      <c r="A232" s="18" t="inlineStr">
        <is>
          <t>OK</t>
        </is>
      </c>
      <c r="B232" s="18" t="inlineStr">
        <is>
          <t xml:space="preserve">Priscila </t>
        </is>
      </c>
      <c r="C232" s="16" t="n">
        <v>226</v>
      </c>
      <c r="D232" s="16" t="inlineStr">
        <is>
          <t>2005</t>
        </is>
      </c>
      <c r="E232" s="16" t="inlineStr">
        <is>
          <t>Área de janela e dimensões de ambientes para iluminação natural e eficiência energética: literatura versus simulação computacional</t>
        </is>
      </c>
      <c r="F232" s="16" t="inlineStr">
        <is>
          <t>GHISI, E.; TINKER, John A; IBRAHIM, Siti Halipah</t>
        </is>
      </c>
      <c r="G232" s="16" t="inlineStr">
        <is>
          <t>Ambiente Construído (Online), Porto Alegre, v. 5, n.4, p. 81-93, 2005.  DOI</t>
        </is>
      </c>
      <c r="H232" s="14" t="inlineStr">
        <is>
          <t>https://seer.ufrgs.br/ambienteconstruido/article/view/3659</t>
        </is>
      </c>
      <c r="I232" s="16" t="inlineStr">
        <is>
          <t>Vidros-E-Janelas, Iluminacao, Eletricidade, Eficiencia-Energetica, Simulacao-Computacional</t>
        </is>
      </c>
      <c r="J232" s="16" t="inlineStr">
        <is>
          <t>Vidros-E-Janelas</t>
        </is>
      </c>
      <c r="K232" s="16" t="inlineStr">
        <is>
          <t>Iluminacao</t>
        </is>
      </c>
      <c r="L232" s="16" t="inlineStr">
        <is>
          <t>Eletricidade</t>
        </is>
      </c>
      <c r="M232" s="16" t="inlineStr">
        <is>
          <t>Eficiencia-Energetica</t>
        </is>
      </c>
      <c r="N232" s="16" t="inlineStr">
        <is>
          <t>Simulacao-Computacional</t>
        </is>
      </c>
      <c r="O232" s="16" t="n"/>
      <c r="P232" s="18" t="n"/>
    </row>
    <row r="233" ht="14.25" customHeight="1" s="19">
      <c r="A233" s="18" t="inlineStr">
        <is>
          <t>OK</t>
        </is>
      </c>
      <c r="B233" s="18" t="inlineStr">
        <is>
          <t xml:space="preserve">Priscila </t>
        </is>
      </c>
      <c r="C233" s="16" t="n">
        <v>227</v>
      </c>
      <c r="D233" s="16" t="inlineStr">
        <is>
          <t>2004</t>
        </is>
      </c>
      <c r="E233" s="16" t="inlineStr">
        <is>
          <t>Potencial de economia de energia em iluminação através da utilização de fibras ópticas</t>
        </is>
      </c>
      <c r="F233" s="16" t="inlineStr">
        <is>
          <t>GHISI, E.; TINKER, John A</t>
        </is>
      </c>
      <c r="G233" s="16" t="inlineStr">
        <is>
          <t>Ambiente Construído (Online), http://www.antac.org.br/, v. 4, n.3, p. 61-77, 2004.  DOI</t>
        </is>
      </c>
      <c r="H233" s="14" t="inlineStr">
        <is>
          <t>https://seer.ufrgs.br/index.php/ambienteconstruido/article/view/3560</t>
        </is>
      </c>
      <c r="I233" s="16" t="inlineStr">
        <is>
          <t>Iluminacao, Eletricidade, Eficiencia-Energetica, Simulacao-Computacional</t>
        </is>
      </c>
      <c r="J233" s="16" t="inlineStr">
        <is>
          <t>Iluminacao</t>
        </is>
      </c>
      <c r="K233" s="16" t="inlineStr">
        <is>
          <t>Eletricidade</t>
        </is>
      </c>
      <c r="L233" s="16" t="inlineStr">
        <is>
          <t>Eficiencia-Energetica</t>
        </is>
      </c>
      <c r="M233" s="16" t="inlineStr">
        <is>
          <t>Simulacao-Computacional</t>
        </is>
      </c>
      <c r="N233" s="16" t="n"/>
      <c r="O233" s="16" t="n"/>
      <c r="P233" s="18" t="n"/>
    </row>
    <row r="234" ht="14.25" customHeight="1" s="19"/>
    <row r="235" ht="14.25" customHeight="1" s="19"/>
    <row r="236" ht="14.25" customHeight="1" s="19"/>
    <row r="237" ht="14.25" customHeight="1" s="19"/>
    <row r="238" ht="14.25" customHeight="1" s="19"/>
    <row r="239" ht="14.25" customHeight="1" s="19"/>
    <row r="240" ht="14.25" customHeight="1" s="19"/>
    <row r="241" ht="14.25" customHeight="1" s="19"/>
    <row r="242" ht="14.25" customHeight="1" s="19"/>
    <row r="243" ht="14.25" customHeight="1" s="19"/>
    <row r="244" ht="14.25" customHeight="1" s="19"/>
    <row r="245" ht="14.25" customHeight="1" s="19"/>
    <row r="246" ht="14.25" customHeight="1" s="19"/>
    <row r="247" ht="14.25" customHeight="1" s="19"/>
    <row r="248" ht="14.25" customHeight="1" s="19"/>
    <row r="249" ht="14.25" customHeight="1" s="19"/>
    <row r="250" ht="14.25" customHeight="1" s="19"/>
    <row r="251" ht="14.25" customHeight="1" s="19"/>
    <row r="252" ht="14.25" customHeight="1" s="19"/>
    <row r="253" ht="14.25" customHeight="1" s="19"/>
    <row r="254" ht="14.25" customHeight="1" s="19"/>
    <row r="255" ht="14.25" customHeight="1" s="19"/>
    <row r="256" ht="14.25" customHeight="1" s="19"/>
    <row r="257" ht="14.25" customHeight="1" s="19"/>
    <row r="258" ht="14.25" customHeight="1" s="19"/>
    <row r="259" ht="14.25" customHeight="1" s="19"/>
    <row r="260" ht="14.25" customHeight="1" s="19"/>
    <row r="261" ht="14.25" customHeight="1" s="19"/>
    <row r="262" ht="14.25" customHeight="1" s="19"/>
    <row r="263" ht="14.25" customHeight="1" s="19"/>
    <row r="264" ht="14.25" customHeight="1" s="19"/>
    <row r="265" ht="14.25" customHeight="1" s="19"/>
    <row r="266" ht="14.25" customHeight="1" s="19"/>
    <row r="267" ht="14.25" customHeight="1" s="19"/>
    <row r="268" ht="14.25" customHeight="1" s="19"/>
    <row r="269" ht="14.25" customHeight="1" s="19"/>
    <row r="270" ht="14.25" customHeight="1" s="19"/>
    <row r="271" ht="14.25" customHeight="1" s="19"/>
    <row r="272" ht="14.25" customHeight="1" s="19"/>
    <row r="273" ht="14.25" customHeight="1" s="19"/>
    <row r="274" ht="14.25" customHeight="1" s="19"/>
    <row r="275" ht="14.25" customHeight="1" s="19"/>
    <row r="276" ht="14.25" customHeight="1" s="19"/>
    <row r="277" ht="14.25" customHeight="1" s="19"/>
    <row r="278" ht="14.25" customHeight="1" s="19"/>
    <row r="279" ht="14.25" customHeight="1" s="19"/>
    <row r="280" ht="14.25" customHeight="1" s="19"/>
    <row r="281" ht="14.25" customHeight="1" s="19"/>
    <row r="282" ht="14.25" customHeight="1" s="19"/>
    <row r="283" ht="14.25" customHeight="1" s="19"/>
    <row r="284" ht="14.25" customHeight="1" s="19"/>
    <row r="285" ht="14.25" customHeight="1" s="19"/>
    <row r="286" ht="14.25" customHeight="1" s="19"/>
    <row r="287" ht="14.25" customHeight="1" s="19"/>
    <row r="288" ht="14.25" customHeight="1" s="19"/>
    <row r="289" ht="14.25" customHeight="1" s="19"/>
    <row r="290" ht="14.25" customHeight="1" s="19"/>
    <row r="291" ht="14.25" customHeight="1" s="19"/>
    <row r="292" ht="14.25" customHeight="1" s="19"/>
    <row r="293" ht="14.25" customHeight="1" s="19"/>
    <row r="294" ht="14.25" customHeight="1" s="19"/>
    <row r="295" ht="14.25" customHeight="1" s="19"/>
    <row r="296" ht="14.25" customHeight="1" s="19"/>
    <row r="297" ht="14.25" customHeight="1" s="19"/>
    <row r="298" ht="14.25" customHeight="1" s="19"/>
    <row r="299" ht="14.25" customHeight="1" s="19"/>
    <row r="300" ht="14.25" customHeight="1" s="19"/>
    <row r="301" ht="14.25" customHeight="1" s="19"/>
    <row r="302" ht="14.25" customHeight="1" s="19"/>
    <row r="303" ht="14.25" customHeight="1" s="19"/>
    <row r="304" ht="14.25" customHeight="1" s="19"/>
    <row r="305" ht="14.25" customHeight="1" s="19"/>
    <row r="306" ht="14.25" customHeight="1" s="19"/>
    <row r="307" ht="14.25" customHeight="1" s="19"/>
    <row r="308" ht="14.25" customHeight="1" s="19"/>
    <row r="309" ht="14.25" customHeight="1" s="19"/>
    <row r="310" ht="14.25" customHeight="1" s="19"/>
    <row r="311" ht="14.25" customHeight="1" s="19"/>
    <row r="312" ht="14.25" customHeight="1" s="19"/>
    <row r="313" ht="14.25" customHeight="1" s="19"/>
    <row r="314" ht="14.25" customHeight="1" s="19"/>
    <row r="315" ht="14.25" customHeight="1" s="19"/>
    <row r="316" ht="14.25" customHeight="1" s="19"/>
    <row r="317" ht="14.25" customHeight="1" s="19"/>
    <row r="318" ht="14.25" customHeight="1" s="19"/>
    <row r="319" ht="14.25" customHeight="1" s="19"/>
    <row r="320" ht="14.25" customHeight="1" s="19"/>
    <row r="321" ht="14.25" customHeight="1" s="19"/>
    <row r="322" ht="14.25" customHeight="1" s="19"/>
    <row r="323" ht="14.25" customHeight="1" s="19"/>
    <row r="324" ht="14.25" customHeight="1" s="19"/>
    <row r="325" ht="14.25" customHeight="1" s="19"/>
    <row r="326" ht="14.25" customHeight="1" s="19"/>
    <row r="327" ht="14.25" customHeight="1" s="19"/>
    <row r="328" ht="14.25" customHeight="1" s="19"/>
    <row r="329" ht="14.25" customHeight="1" s="19"/>
    <row r="330" ht="14.25" customHeight="1" s="19"/>
    <row r="331" ht="14.25" customHeight="1" s="19"/>
    <row r="332" ht="14.25" customHeight="1" s="19"/>
    <row r="333" ht="14.25" customHeight="1" s="19"/>
    <row r="334" ht="14.25" customHeight="1" s="19"/>
    <row r="335" ht="14.25" customHeight="1" s="19"/>
    <row r="336" ht="14.25" customHeight="1" s="19"/>
    <row r="337" ht="14.25" customHeight="1" s="19"/>
    <row r="338" ht="14.25" customHeight="1" s="19"/>
    <row r="339" ht="14.25" customHeight="1" s="19"/>
    <row r="340" ht="14.25" customHeight="1" s="19"/>
    <row r="341" ht="14.25" customHeight="1" s="19"/>
    <row r="342" ht="14.25" customHeight="1" s="19"/>
    <row r="343" ht="14.25" customHeight="1" s="19"/>
    <row r="344" ht="14.25" customHeight="1" s="19"/>
    <row r="345" ht="14.25" customHeight="1" s="19"/>
    <row r="346" ht="14.25" customHeight="1" s="19"/>
    <row r="347" ht="14.25" customHeight="1" s="19"/>
    <row r="348" ht="14.25" customHeight="1" s="19"/>
    <row r="349" ht="14.25" customHeight="1" s="19"/>
    <row r="350" ht="14.25" customHeight="1" s="19"/>
    <row r="351" ht="14.25" customHeight="1" s="19"/>
    <row r="352" ht="14.25" customHeight="1" s="19"/>
    <row r="353" ht="14.25" customHeight="1" s="19"/>
    <row r="354" ht="14.25" customHeight="1" s="19"/>
    <row r="355" ht="14.25" customHeight="1" s="19"/>
    <row r="356" ht="14.25" customHeight="1" s="19"/>
    <row r="357" ht="14.25" customHeight="1" s="19"/>
    <row r="358" ht="14.25" customHeight="1" s="19"/>
    <row r="359" ht="14.25" customHeight="1" s="19"/>
    <row r="360" ht="14.25" customHeight="1" s="19"/>
    <row r="361" ht="14.25" customHeight="1" s="19"/>
    <row r="362" ht="14.25" customHeight="1" s="19"/>
    <row r="363" ht="14.25" customHeight="1" s="19"/>
    <row r="364" ht="14.25" customHeight="1" s="19"/>
    <row r="365" ht="14.25" customHeight="1" s="19"/>
    <row r="366" ht="14.25" customHeight="1" s="19"/>
    <row r="367" ht="14.25" customHeight="1" s="19"/>
    <row r="368" ht="14.25" customHeight="1" s="19"/>
    <row r="369" ht="14.25" customHeight="1" s="19"/>
    <row r="370" ht="14.25" customHeight="1" s="19"/>
    <row r="371" ht="14.25" customHeight="1" s="19"/>
    <row r="372" ht="14.25" customHeight="1" s="19"/>
    <row r="373" ht="14.25" customHeight="1" s="19"/>
    <row r="374" ht="14.25" customHeight="1" s="19"/>
    <row r="375" ht="14.25" customHeight="1" s="19"/>
    <row r="376" ht="14.25" customHeight="1" s="19"/>
    <row r="377" ht="14.25" customHeight="1" s="19"/>
    <row r="378" ht="14.25" customHeight="1" s="19"/>
    <row r="379" ht="14.25" customHeight="1" s="19"/>
    <row r="380" ht="14.25" customHeight="1" s="19"/>
    <row r="381" ht="14.25" customHeight="1" s="19"/>
    <row r="382" ht="14.25" customHeight="1" s="19"/>
    <row r="383" ht="14.25" customHeight="1" s="19"/>
    <row r="384" ht="14.25" customHeight="1" s="19"/>
    <row r="385" ht="14.25" customHeight="1" s="19"/>
    <row r="386" ht="14.25" customHeight="1" s="19"/>
    <row r="387" ht="14.25" customHeight="1" s="19"/>
    <row r="388" ht="14.25" customHeight="1" s="19"/>
    <row r="389" ht="14.25" customHeight="1" s="19"/>
    <row r="390" ht="14.25" customHeight="1" s="19"/>
    <row r="391" ht="14.25" customHeight="1" s="19"/>
    <row r="392" ht="14.25" customHeight="1" s="19"/>
    <row r="393" ht="14.25" customHeight="1" s="19"/>
    <row r="394" ht="14.25" customHeight="1" s="19"/>
    <row r="395" ht="14.25" customHeight="1" s="19"/>
    <row r="396" ht="14.25" customHeight="1" s="19"/>
    <row r="397" ht="14.25" customHeight="1" s="19"/>
    <row r="398" ht="14.25" customHeight="1" s="19"/>
    <row r="399" ht="14.25" customHeight="1" s="19"/>
    <row r="400" ht="14.25" customHeight="1" s="19"/>
    <row r="401" ht="14.25" customHeight="1" s="19"/>
    <row r="402" ht="14.25" customHeight="1" s="19"/>
    <row r="403" ht="14.25" customHeight="1" s="19"/>
    <row r="404" ht="14.25" customHeight="1" s="19"/>
    <row r="405" ht="14.25" customHeight="1" s="19"/>
    <row r="406" ht="14.25" customHeight="1" s="19"/>
    <row r="407" ht="14.25" customHeight="1" s="19"/>
    <row r="408" ht="14.25" customHeight="1" s="19"/>
    <row r="409" ht="14.25" customHeight="1" s="19"/>
    <row r="410" ht="14.25" customHeight="1" s="19"/>
    <row r="411" ht="14.25" customHeight="1" s="19"/>
    <row r="412" ht="14.25" customHeight="1" s="19"/>
    <row r="413" ht="14.25" customHeight="1" s="19"/>
    <row r="414" ht="14.25" customHeight="1" s="19"/>
    <row r="415" ht="14.25" customHeight="1" s="19"/>
    <row r="416" ht="14.25" customHeight="1" s="19"/>
    <row r="417" ht="14.25" customHeight="1" s="19"/>
    <row r="418" ht="14.25" customHeight="1" s="19"/>
    <row r="419" ht="14.25" customHeight="1" s="19"/>
    <row r="420" ht="14.25" customHeight="1" s="19"/>
    <row r="421" ht="14.25" customHeight="1" s="19"/>
    <row r="422" ht="14.25" customHeight="1" s="19"/>
    <row r="423" ht="14.25" customHeight="1" s="19"/>
    <row r="424" ht="14.25" customHeight="1" s="19"/>
    <row r="425" ht="14.25" customHeight="1" s="19"/>
    <row r="426" ht="14.25" customHeight="1" s="19"/>
    <row r="427" ht="14.25" customHeight="1" s="19"/>
    <row r="428" ht="14.25" customHeight="1" s="19"/>
    <row r="429" ht="14.25" customHeight="1" s="19"/>
    <row r="430" ht="14.25" customHeight="1" s="19"/>
    <row r="431" ht="14.25" customHeight="1" s="19"/>
    <row r="432" ht="14.25" customHeight="1" s="19"/>
    <row r="433" ht="14.25" customHeight="1" s="19"/>
    <row r="434" ht="14.25" customHeight="1" s="19"/>
    <row r="435" ht="14.25" customHeight="1" s="19"/>
    <row r="436" ht="14.25" customHeight="1" s="19"/>
    <row r="437" ht="14.25" customHeight="1" s="19"/>
    <row r="438" ht="14.25" customHeight="1" s="19"/>
    <row r="439" ht="14.25" customHeight="1" s="19"/>
    <row r="440" ht="14.25" customHeight="1" s="19"/>
    <row r="441" ht="14.25" customHeight="1" s="19"/>
    <row r="442" ht="14.25" customHeight="1" s="19"/>
    <row r="443" ht="14.25" customHeight="1" s="19"/>
    <row r="444" ht="14.25" customHeight="1" s="19"/>
    <row r="445" ht="14.25" customHeight="1" s="19"/>
    <row r="446" ht="14.25" customHeight="1" s="19"/>
    <row r="447" ht="14.25" customHeight="1" s="19"/>
    <row r="448" ht="14.25" customHeight="1" s="19"/>
    <row r="449" ht="14.25" customHeight="1" s="19"/>
    <row r="450" ht="14.25" customHeight="1" s="19"/>
    <row r="451" ht="14.25" customHeight="1" s="19"/>
    <row r="452" ht="14.25" customHeight="1" s="19"/>
    <row r="453" ht="14.25" customHeight="1" s="19"/>
    <row r="454" ht="14.25" customHeight="1" s="19"/>
    <row r="455" ht="14.25" customHeight="1" s="19"/>
    <row r="456" ht="14.25" customHeight="1" s="19"/>
    <row r="457" ht="14.25" customHeight="1" s="19"/>
    <row r="458" ht="14.25" customHeight="1" s="19"/>
    <row r="459" ht="14.25" customHeight="1" s="19"/>
    <row r="460" ht="14.25" customHeight="1" s="19"/>
    <row r="461" ht="14.25" customHeight="1" s="19"/>
    <row r="462" ht="14.25" customHeight="1" s="19"/>
    <row r="463" ht="14.25" customHeight="1" s="19"/>
    <row r="464" ht="14.25" customHeight="1" s="19"/>
    <row r="465" ht="14.25" customHeight="1" s="19"/>
    <row r="466" ht="14.25" customHeight="1" s="19"/>
    <row r="467" ht="14.25" customHeight="1" s="19"/>
    <row r="468" ht="14.25" customHeight="1" s="19"/>
    <row r="469" ht="14.25" customHeight="1" s="19"/>
    <row r="470" ht="14.25" customHeight="1" s="19"/>
    <row r="471" ht="14.25" customHeight="1" s="19"/>
    <row r="472" ht="14.25" customHeight="1" s="19"/>
    <row r="473" ht="14.25" customHeight="1" s="19"/>
    <row r="474" ht="14.25" customHeight="1" s="19"/>
    <row r="475" ht="14.25" customHeight="1" s="19"/>
    <row r="476" ht="14.25" customHeight="1" s="19"/>
    <row r="477" ht="14.25" customHeight="1" s="19"/>
    <row r="478" ht="14.25" customHeight="1" s="19"/>
    <row r="479" ht="14.25" customHeight="1" s="19"/>
    <row r="480" ht="14.25" customHeight="1" s="19"/>
    <row r="481" ht="14.25" customHeight="1" s="19"/>
    <row r="482" ht="14.25" customHeight="1" s="19"/>
    <row r="483" ht="14.25" customHeight="1" s="19"/>
    <row r="484" ht="14.25" customHeight="1" s="19"/>
    <row r="485" ht="14.25" customHeight="1" s="19"/>
    <row r="486" ht="14.25" customHeight="1" s="19"/>
    <row r="487" ht="14.25" customHeight="1" s="19"/>
    <row r="488" ht="14.25" customHeight="1" s="19"/>
    <row r="489" ht="14.25" customHeight="1" s="19"/>
    <row r="490" ht="14.25" customHeight="1" s="19"/>
    <row r="491" ht="14.25" customHeight="1" s="19"/>
    <row r="492" ht="14.25" customHeight="1" s="19"/>
    <row r="493" ht="14.25" customHeight="1" s="19"/>
    <row r="494" ht="14.25" customHeight="1" s="19"/>
    <row r="495" ht="14.25" customHeight="1" s="19"/>
    <row r="496" ht="14.25" customHeight="1" s="19"/>
    <row r="497" ht="14.25" customHeight="1" s="19"/>
    <row r="498" ht="14.25" customHeight="1" s="19"/>
    <row r="499" ht="14.25" customHeight="1" s="19"/>
    <row r="500" ht="14.25" customHeight="1" s="19"/>
    <row r="501" ht="14.25" customHeight="1" s="19"/>
    <row r="502" ht="14.25" customHeight="1" s="19"/>
    <row r="503" ht="14.25" customHeight="1" s="19"/>
    <row r="504" ht="14.25" customHeight="1" s="19"/>
    <row r="505" ht="14.25" customHeight="1" s="19"/>
    <row r="506" ht="14.25" customHeight="1" s="19"/>
    <row r="507" ht="14.25" customHeight="1" s="19"/>
    <row r="508" ht="14.25" customHeight="1" s="19"/>
    <row r="509" ht="14.25" customHeight="1" s="19"/>
    <row r="510" ht="14.25" customHeight="1" s="19"/>
    <row r="511" ht="14.25" customHeight="1" s="19"/>
    <row r="512" ht="14.25" customHeight="1" s="19"/>
    <row r="513" ht="14.25" customHeight="1" s="19"/>
    <row r="514" ht="14.25" customHeight="1" s="19"/>
    <row r="515" ht="14.25" customHeight="1" s="19"/>
    <row r="516" ht="14.25" customHeight="1" s="19"/>
    <row r="517" ht="14.25" customHeight="1" s="19"/>
    <row r="518" ht="14.25" customHeight="1" s="19"/>
    <row r="519" ht="14.25" customHeight="1" s="19"/>
    <row r="520" ht="14.25" customHeight="1" s="19"/>
    <row r="521" ht="14.25" customHeight="1" s="19"/>
    <row r="522" ht="14.25" customHeight="1" s="19"/>
    <row r="523" ht="14.25" customHeight="1" s="19"/>
    <row r="524" ht="14.25" customHeight="1" s="19"/>
    <row r="525" ht="14.25" customHeight="1" s="19"/>
    <row r="526" ht="14.25" customHeight="1" s="19"/>
    <row r="527" ht="14.25" customHeight="1" s="19"/>
    <row r="528" ht="14.25" customHeight="1" s="19"/>
    <row r="529" ht="14.25" customHeight="1" s="19"/>
    <row r="530" ht="14.25" customHeight="1" s="19"/>
    <row r="531" ht="14.25" customHeight="1" s="19"/>
    <row r="532" ht="14.25" customHeight="1" s="19"/>
    <row r="533" ht="14.25" customHeight="1" s="19"/>
    <row r="534" ht="14.25" customHeight="1" s="19"/>
    <row r="535" ht="14.25" customHeight="1" s="19"/>
    <row r="536" ht="14.25" customHeight="1" s="19"/>
    <row r="537" ht="14.25" customHeight="1" s="19"/>
    <row r="538" ht="14.25" customHeight="1" s="19"/>
    <row r="539" ht="14.25" customHeight="1" s="19"/>
    <row r="540" ht="14.25" customHeight="1" s="19"/>
    <row r="541" ht="14.25" customHeight="1" s="19"/>
    <row r="542" ht="14.25" customHeight="1" s="19"/>
    <row r="543" ht="14.25" customHeight="1" s="19"/>
    <row r="544" ht="14.25" customHeight="1" s="19"/>
    <row r="545" ht="14.25" customHeight="1" s="19"/>
    <row r="546" ht="14.25" customHeight="1" s="19"/>
    <row r="547" ht="14.25" customHeight="1" s="19"/>
    <row r="548" ht="14.25" customHeight="1" s="19"/>
    <row r="549" ht="14.25" customHeight="1" s="19"/>
    <row r="550" ht="14.25" customHeight="1" s="19"/>
    <row r="551" ht="14.25" customHeight="1" s="19"/>
    <row r="552" ht="14.25" customHeight="1" s="19"/>
    <row r="553" ht="14.25" customHeight="1" s="19"/>
    <row r="554" ht="14.25" customHeight="1" s="19"/>
    <row r="555" ht="14.25" customHeight="1" s="19"/>
    <row r="556" ht="14.25" customHeight="1" s="19"/>
    <row r="557" ht="14.25" customHeight="1" s="19"/>
    <row r="558" ht="14.25" customHeight="1" s="19"/>
    <row r="559" ht="14.25" customHeight="1" s="19"/>
    <row r="560" ht="14.25" customHeight="1" s="19"/>
    <row r="561" ht="14.25" customHeight="1" s="19"/>
    <row r="562" ht="14.25" customHeight="1" s="19"/>
    <row r="563" ht="14.25" customHeight="1" s="19"/>
    <row r="564" ht="14.25" customHeight="1" s="19"/>
    <row r="565" ht="14.25" customHeight="1" s="19"/>
    <row r="566" ht="14.25" customHeight="1" s="19"/>
    <row r="567" ht="14.25" customHeight="1" s="19"/>
    <row r="568" ht="14.25" customHeight="1" s="19"/>
    <row r="569" ht="14.25" customHeight="1" s="19"/>
    <row r="570" ht="14.25" customHeight="1" s="19"/>
    <row r="571" ht="14.25" customHeight="1" s="19"/>
    <row r="572" ht="14.25" customHeight="1" s="19"/>
    <row r="573" ht="14.25" customHeight="1" s="19"/>
    <row r="574" ht="14.25" customHeight="1" s="19"/>
    <row r="575" ht="14.25" customHeight="1" s="19"/>
    <row r="576" ht="14.25" customHeight="1" s="19"/>
    <row r="577" ht="14.25" customHeight="1" s="19"/>
    <row r="578" ht="14.25" customHeight="1" s="19"/>
    <row r="579" ht="14.25" customHeight="1" s="19"/>
    <row r="580" ht="14.25" customHeight="1" s="19"/>
    <row r="581" ht="14.25" customHeight="1" s="19"/>
    <row r="582" ht="14.25" customHeight="1" s="19"/>
    <row r="583" ht="14.25" customHeight="1" s="19"/>
    <row r="584" ht="14.25" customHeight="1" s="19"/>
    <row r="585" ht="14.25" customHeight="1" s="19"/>
    <row r="586" ht="14.25" customHeight="1" s="19"/>
    <row r="587" ht="14.25" customHeight="1" s="19"/>
    <row r="588" ht="14.25" customHeight="1" s="19"/>
    <row r="589" ht="14.25" customHeight="1" s="19"/>
    <row r="590" ht="14.25" customHeight="1" s="19"/>
    <row r="591" ht="14.25" customHeight="1" s="19"/>
    <row r="592" ht="14.25" customHeight="1" s="19"/>
    <row r="593" ht="14.25" customHeight="1" s="19"/>
    <row r="594" ht="14.25" customHeight="1" s="19"/>
    <row r="595" ht="14.25" customHeight="1" s="19"/>
    <row r="596" ht="14.25" customHeight="1" s="19"/>
    <row r="597" ht="14.25" customHeight="1" s="19"/>
    <row r="598" ht="14.25" customHeight="1" s="19"/>
    <row r="599" ht="14.25" customHeight="1" s="19"/>
    <row r="600" ht="14.25" customHeight="1" s="19"/>
    <row r="601" ht="14.25" customHeight="1" s="19"/>
    <row r="602" ht="14.25" customHeight="1" s="19"/>
    <row r="603" ht="14.25" customHeight="1" s="19"/>
    <row r="604" ht="14.25" customHeight="1" s="19"/>
    <row r="605" ht="14.25" customHeight="1" s="19"/>
    <row r="606" ht="14.25" customHeight="1" s="19"/>
    <row r="607" ht="14.25" customHeight="1" s="19"/>
    <row r="608" ht="14.25" customHeight="1" s="19"/>
    <row r="609" ht="14.25" customHeight="1" s="19"/>
    <row r="610" ht="14.25" customHeight="1" s="19"/>
    <row r="611" ht="14.25" customHeight="1" s="19"/>
    <row r="612" ht="14.25" customHeight="1" s="19"/>
    <row r="613" ht="14.25" customHeight="1" s="19"/>
    <row r="614" ht="14.25" customHeight="1" s="19"/>
    <row r="615" ht="14.25" customHeight="1" s="19"/>
    <row r="616" ht="14.25" customHeight="1" s="19"/>
    <row r="617" ht="14.25" customHeight="1" s="19"/>
    <row r="618" ht="14.25" customHeight="1" s="19"/>
    <row r="619" ht="14.25" customHeight="1" s="19"/>
    <row r="620" ht="14.25" customHeight="1" s="19"/>
    <row r="621" ht="14.25" customHeight="1" s="19"/>
    <row r="622" ht="14.25" customHeight="1" s="19"/>
    <row r="623" ht="14.25" customHeight="1" s="19"/>
    <row r="624" ht="14.25" customHeight="1" s="19"/>
    <row r="625" ht="14.25" customHeight="1" s="19"/>
    <row r="626" ht="14.25" customHeight="1" s="19"/>
    <row r="627" ht="14.25" customHeight="1" s="19"/>
    <row r="628" ht="14.25" customHeight="1" s="19"/>
    <row r="629" ht="14.25" customHeight="1" s="19"/>
    <row r="630" ht="14.25" customHeight="1" s="19"/>
    <row r="631" ht="14.25" customHeight="1" s="19"/>
    <row r="632" ht="14.25" customHeight="1" s="19"/>
    <row r="633" ht="14.25" customHeight="1" s="19"/>
    <row r="634" ht="14.25" customHeight="1" s="19"/>
    <row r="635" ht="14.25" customHeight="1" s="19"/>
    <row r="636" ht="14.25" customHeight="1" s="19"/>
    <row r="637" ht="14.25" customHeight="1" s="19"/>
    <row r="638" ht="14.25" customHeight="1" s="19"/>
    <row r="639" ht="14.25" customHeight="1" s="19"/>
    <row r="640" ht="14.25" customHeight="1" s="19"/>
    <row r="641" ht="14.25" customHeight="1" s="19"/>
    <row r="642" ht="14.25" customHeight="1" s="19"/>
    <row r="643" ht="14.25" customHeight="1" s="19"/>
    <row r="644" ht="14.25" customHeight="1" s="19"/>
    <row r="645" ht="14.25" customHeight="1" s="19"/>
    <row r="646" ht="14.25" customHeight="1" s="19"/>
    <row r="647" ht="14.25" customHeight="1" s="19"/>
    <row r="648" ht="14.25" customHeight="1" s="19"/>
    <row r="649" ht="14.25" customHeight="1" s="19"/>
    <row r="650" ht="14.25" customHeight="1" s="19"/>
    <row r="651" ht="14.25" customHeight="1" s="19"/>
    <row r="652" ht="14.25" customHeight="1" s="19"/>
    <row r="653" ht="14.25" customHeight="1" s="19"/>
    <row r="654" ht="14.25" customHeight="1" s="19"/>
    <row r="655" ht="14.25" customHeight="1" s="19"/>
    <row r="656" ht="14.25" customHeight="1" s="19"/>
    <row r="657" ht="14.25" customHeight="1" s="19"/>
    <row r="658" ht="14.25" customHeight="1" s="19"/>
    <row r="659" ht="14.25" customHeight="1" s="19"/>
    <row r="660" ht="14.25" customHeight="1" s="19"/>
    <row r="661" ht="14.25" customHeight="1" s="19"/>
    <row r="662" ht="14.25" customHeight="1" s="19"/>
    <row r="663" ht="14.25" customHeight="1" s="19"/>
    <row r="664" ht="14.25" customHeight="1" s="19"/>
    <row r="665" ht="14.25" customHeight="1" s="19"/>
    <row r="666" ht="14.25" customHeight="1" s="19"/>
    <row r="667" ht="14.25" customHeight="1" s="19"/>
    <row r="668" ht="14.25" customHeight="1" s="19"/>
    <row r="669" ht="14.25" customHeight="1" s="19"/>
    <row r="670" ht="14.25" customHeight="1" s="19"/>
    <row r="671" ht="14.25" customHeight="1" s="19"/>
    <row r="672" ht="14.25" customHeight="1" s="19"/>
    <row r="673" ht="14.25" customHeight="1" s="19"/>
    <row r="674" ht="14.25" customHeight="1" s="19"/>
    <row r="675" ht="14.25" customHeight="1" s="19"/>
    <row r="676" ht="14.25" customHeight="1" s="19"/>
    <row r="677" ht="14.25" customHeight="1" s="19"/>
    <row r="678" ht="14.25" customHeight="1" s="19"/>
    <row r="679" ht="14.25" customHeight="1" s="19"/>
    <row r="680" ht="14.25" customHeight="1" s="19"/>
    <row r="681" ht="14.25" customHeight="1" s="19"/>
    <row r="682" ht="14.25" customHeight="1" s="19"/>
    <row r="683" ht="14.25" customHeight="1" s="19"/>
    <row r="684" ht="14.25" customHeight="1" s="19"/>
    <row r="685" ht="14.25" customHeight="1" s="19"/>
    <row r="686" ht="14.25" customHeight="1" s="19"/>
    <row r="687" ht="14.25" customHeight="1" s="19"/>
    <row r="688" ht="14.25" customHeight="1" s="19"/>
    <row r="689" ht="14.25" customHeight="1" s="19"/>
    <row r="690" ht="14.25" customHeight="1" s="19"/>
    <row r="691" ht="14.25" customHeight="1" s="19"/>
    <row r="692" ht="14.25" customHeight="1" s="19"/>
    <row r="693" ht="14.25" customHeight="1" s="19"/>
    <row r="694" ht="14.25" customHeight="1" s="19"/>
    <row r="695" ht="14.25" customHeight="1" s="19"/>
    <row r="696" ht="14.25" customHeight="1" s="19"/>
    <row r="697" ht="14.25" customHeight="1" s="19"/>
    <row r="698" ht="14.25" customHeight="1" s="19"/>
    <row r="699" ht="14.25" customHeight="1" s="19"/>
    <row r="700" ht="14.25" customHeight="1" s="19"/>
    <row r="701" ht="14.25" customHeight="1" s="19"/>
    <row r="702" ht="14.25" customHeight="1" s="19"/>
    <row r="703" ht="14.25" customHeight="1" s="19"/>
    <row r="704" ht="14.25" customHeight="1" s="19"/>
    <row r="705" ht="14.25" customHeight="1" s="19"/>
    <row r="706" ht="14.25" customHeight="1" s="19"/>
    <row r="707" ht="14.25" customHeight="1" s="19"/>
    <row r="708" ht="14.25" customHeight="1" s="19"/>
    <row r="709" ht="14.25" customHeight="1" s="19"/>
    <row r="710" ht="14.25" customHeight="1" s="19"/>
    <row r="711" ht="14.25" customHeight="1" s="19"/>
    <row r="712" ht="14.25" customHeight="1" s="19"/>
    <row r="713" ht="14.25" customHeight="1" s="19"/>
    <row r="714" ht="14.25" customHeight="1" s="19"/>
    <row r="715" ht="14.25" customHeight="1" s="19"/>
    <row r="716" ht="14.25" customHeight="1" s="19"/>
    <row r="717" ht="14.25" customHeight="1" s="19"/>
    <row r="718" ht="14.25" customHeight="1" s="19"/>
    <row r="719" ht="14.25" customHeight="1" s="19"/>
    <row r="720" ht="14.25" customHeight="1" s="19"/>
    <row r="721" ht="14.25" customHeight="1" s="19"/>
    <row r="722" ht="14.25" customHeight="1" s="19"/>
    <row r="723" ht="14.25" customHeight="1" s="19"/>
    <row r="724" ht="14.25" customHeight="1" s="19"/>
    <row r="725" ht="14.25" customHeight="1" s="19"/>
    <row r="726" ht="14.25" customHeight="1" s="19"/>
    <row r="727" ht="14.25" customHeight="1" s="19"/>
    <row r="728" ht="14.25" customHeight="1" s="19"/>
    <row r="729" ht="14.25" customHeight="1" s="19"/>
    <row r="730" ht="14.25" customHeight="1" s="19"/>
    <row r="731" ht="14.25" customHeight="1" s="19"/>
    <row r="732" ht="14.25" customHeight="1" s="19"/>
    <row r="733" ht="14.25" customHeight="1" s="19"/>
    <row r="734" ht="14.25" customHeight="1" s="19"/>
    <row r="735" ht="14.25" customHeight="1" s="19"/>
    <row r="736" ht="14.25" customHeight="1" s="19"/>
    <row r="737" ht="14.25" customHeight="1" s="19"/>
    <row r="738" ht="14.25" customHeight="1" s="19"/>
    <row r="739" ht="14.25" customHeight="1" s="19"/>
    <row r="740" ht="14.25" customHeight="1" s="19"/>
    <row r="741" ht="14.25" customHeight="1" s="19"/>
    <row r="742" ht="14.25" customHeight="1" s="19"/>
    <row r="743" ht="14.25" customHeight="1" s="19"/>
    <row r="744" ht="14.25" customHeight="1" s="19"/>
    <row r="745" ht="14.25" customHeight="1" s="19"/>
    <row r="746" ht="14.25" customHeight="1" s="19"/>
    <row r="747" ht="14.25" customHeight="1" s="19"/>
    <row r="748" ht="14.25" customHeight="1" s="19"/>
    <row r="749" ht="14.25" customHeight="1" s="19"/>
    <row r="750" ht="14.25" customHeight="1" s="19"/>
    <row r="751" ht="14.25" customHeight="1" s="19"/>
    <row r="752" ht="14.25" customHeight="1" s="19"/>
    <row r="753" ht="14.25" customHeight="1" s="19"/>
    <row r="754" ht="14.25" customHeight="1" s="19"/>
    <row r="755" ht="14.25" customHeight="1" s="19"/>
    <row r="756" ht="14.25" customHeight="1" s="19"/>
    <row r="757" ht="14.25" customHeight="1" s="19"/>
    <row r="758" ht="14.25" customHeight="1" s="19"/>
    <row r="759" ht="14.25" customHeight="1" s="19"/>
    <row r="760" ht="14.25" customHeight="1" s="19"/>
    <row r="761" ht="14.25" customHeight="1" s="19"/>
    <row r="762" ht="14.25" customHeight="1" s="19"/>
    <row r="763" ht="14.25" customHeight="1" s="19"/>
    <row r="764" ht="14.25" customHeight="1" s="19"/>
    <row r="765" ht="14.25" customHeight="1" s="19"/>
    <row r="766" ht="14.25" customHeight="1" s="19"/>
    <row r="767" ht="14.25" customHeight="1" s="19"/>
    <row r="768" ht="14.25" customHeight="1" s="19"/>
    <row r="769" ht="14.25" customHeight="1" s="19"/>
    <row r="770" ht="14.25" customHeight="1" s="19"/>
    <row r="771" ht="14.25" customHeight="1" s="19"/>
    <row r="772" ht="14.25" customHeight="1" s="19"/>
    <row r="773" ht="14.25" customHeight="1" s="19"/>
    <row r="774" ht="14.25" customHeight="1" s="19"/>
    <row r="775" ht="14.25" customHeight="1" s="19"/>
    <row r="776" ht="14.25" customHeight="1" s="19"/>
    <row r="777" ht="14.25" customHeight="1" s="19"/>
    <row r="778" ht="14.25" customHeight="1" s="19"/>
    <row r="779" ht="14.25" customHeight="1" s="19"/>
    <row r="780" ht="14.25" customHeight="1" s="19"/>
    <row r="781" ht="14.25" customHeight="1" s="19"/>
    <row r="782" ht="14.25" customHeight="1" s="19"/>
    <row r="783" ht="14.25" customHeight="1" s="19"/>
    <row r="784" ht="14.25" customHeight="1" s="19"/>
    <row r="785" ht="14.25" customHeight="1" s="19"/>
    <row r="786" ht="14.25" customHeight="1" s="19"/>
    <row r="787" ht="14.25" customHeight="1" s="19"/>
    <row r="788" ht="14.25" customHeight="1" s="19"/>
    <row r="789" ht="14.25" customHeight="1" s="19"/>
    <row r="790" ht="14.25" customHeight="1" s="19"/>
    <row r="791" ht="14.25" customHeight="1" s="19"/>
    <row r="792" ht="14.25" customHeight="1" s="19"/>
    <row r="793" ht="14.25" customHeight="1" s="19"/>
    <row r="794" ht="14.25" customHeight="1" s="19"/>
    <row r="795" ht="14.25" customHeight="1" s="19"/>
    <row r="796" ht="14.25" customHeight="1" s="19"/>
    <row r="797" ht="14.25" customHeight="1" s="19"/>
    <row r="798" ht="14.25" customHeight="1" s="19"/>
    <row r="799" ht="14.25" customHeight="1" s="19"/>
    <row r="800" ht="14.25" customHeight="1" s="19"/>
    <row r="801" ht="14.25" customHeight="1" s="19"/>
    <row r="802" ht="14.25" customHeight="1" s="19"/>
    <row r="803" ht="14.25" customHeight="1" s="19"/>
    <row r="804" ht="14.25" customHeight="1" s="19"/>
    <row r="805" ht="14.25" customHeight="1" s="19"/>
    <row r="806" ht="14.25" customHeight="1" s="19"/>
    <row r="807" ht="14.25" customHeight="1" s="19"/>
    <row r="808" ht="14.25" customHeight="1" s="19"/>
    <row r="809" ht="14.25" customHeight="1" s="19"/>
    <row r="810" ht="14.25" customHeight="1" s="19"/>
    <row r="811" ht="14.25" customHeight="1" s="19"/>
    <row r="812" ht="14.25" customHeight="1" s="19"/>
    <row r="813" ht="14.25" customHeight="1" s="19"/>
    <row r="814" ht="14.25" customHeight="1" s="19"/>
    <row r="815" ht="14.25" customHeight="1" s="19"/>
    <row r="816" ht="14.25" customHeight="1" s="19"/>
    <row r="817" ht="14.25" customHeight="1" s="19"/>
    <row r="818" ht="14.25" customHeight="1" s="19"/>
    <row r="819" ht="14.25" customHeight="1" s="19"/>
    <row r="820" ht="14.25" customHeight="1" s="19"/>
    <row r="821" ht="14.25" customHeight="1" s="19"/>
    <row r="822" ht="14.25" customHeight="1" s="19"/>
    <row r="823" ht="14.25" customHeight="1" s="19"/>
    <row r="824" ht="14.25" customHeight="1" s="19"/>
    <row r="825" ht="14.25" customHeight="1" s="19"/>
    <row r="826" ht="14.25" customHeight="1" s="19"/>
    <row r="827" ht="14.25" customHeight="1" s="19"/>
    <row r="828" ht="14.25" customHeight="1" s="19"/>
    <row r="829" ht="14.25" customHeight="1" s="19"/>
    <row r="830" ht="14.25" customHeight="1" s="19"/>
    <row r="831" ht="14.25" customHeight="1" s="19"/>
    <row r="832" ht="14.25" customHeight="1" s="19"/>
    <row r="833" ht="14.25" customHeight="1" s="19"/>
    <row r="834" ht="14.25" customHeight="1" s="19"/>
    <row r="835" ht="14.25" customHeight="1" s="19"/>
    <row r="836" ht="14.25" customHeight="1" s="19"/>
    <row r="837" ht="14.25" customHeight="1" s="19"/>
    <row r="838" ht="14.25" customHeight="1" s="19"/>
    <row r="839" ht="14.25" customHeight="1" s="19"/>
    <row r="840" ht="14.25" customHeight="1" s="19"/>
    <row r="841" ht="14.25" customHeight="1" s="19"/>
    <row r="842" ht="14.25" customHeight="1" s="19"/>
    <row r="843" ht="14.25" customHeight="1" s="19"/>
    <row r="844" ht="14.25" customHeight="1" s="19"/>
    <row r="845" ht="14.25" customHeight="1" s="19"/>
    <row r="846" ht="14.25" customHeight="1" s="19"/>
    <row r="847" ht="14.25" customHeight="1" s="19"/>
    <row r="848" ht="14.25" customHeight="1" s="19"/>
    <row r="849" ht="14.25" customHeight="1" s="19"/>
    <row r="850" ht="14.25" customHeight="1" s="19"/>
    <row r="851" ht="14.25" customHeight="1" s="19"/>
    <row r="852" ht="14.25" customHeight="1" s="19"/>
    <row r="853" ht="14.25" customHeight="1" s="19"/>
    <row r="854" ht="14.25" customHeight="1" s="19"/>
    <row r="855" ht="14.25" customHeight="1" s="19"/>
    <row r="856" ht="14.25" customHeight="1" s="19"/>
    <row r="857" ht="14.25" customHeight="1" s="19"/>
    <row r="858" ht="14.25" customHeight="1" s="19"/>
    <row r="859" ht="14.25" customHeight="1" s="19"/>
    <row r="860" ht="14.25" customHeight="1" s="19"/>
    <row r="861" ht="14.25" customHeight="1" s="19"/>
    <row r="862" ht="14.25" customHeight="1" s="19"/>
    <row r="863" ht="14.25" customHeight="1" s="19"/>
    <row r="864" ht="14.25" customHeight="1" s="19"/>
    <row r="865" ht="14.25" customHeight="1" s="19"/>
    <row r="866" ht="14.25" customHeight="1" s="19"/>
    <row r="867" ht="14.25" customHeight="1" s="19"/>
    <row r="868" ht="14.25" customHeight="1" s="19"/>
    <row r="869" ht="14.25" customHeight="1" s="19"/>
    <row r="870" ht="14.25" customHeight="1" s="19"/>
    <row r="871" ht="14.25" customHeight="1" s="19"/>
    <row r="872" ht="14.25" customHeight="1" s="19"/>
    <row r="873" ht="14.25" customHeight="1" s="19"/>
    <row r="874" ht="14.25" customHeight="1" s="19"/>
    <row r="875" ht="14.25" customHeight="1" s="19"/>
    <row r="876" ht="14.25" customHeight="1" s="19"/>
    <row r="877" ht="14.25" customHeight="1" s="19"/>
    <row r="878" ht="14.25" customHeight="1" s="19"/>
    <row r="879" ht="14.25" customHeight="1" s="19"/>
    <row r="880" ht="14.25" customHeight="1" s="19"/>
    <row r="881" ht="14.25" customHeight="1" s="19"/>
    <row r="882" ht="14.25" customHeight="1" s="19"/>
    <row r="883" ht="14.25" customHeight="1" s="19"/>
    <row r="884" ht="14.25" customHeight="1" s="19"/>
    <row r="885" ht="14.25" customHeight="1" s="19"/>
    <row r="886" ht="14.25" customHeight="1" s="19"/>
    <row r="887" ht="14.25" customHeight="1" s="19"/>
    <row r="888" ht="14.25" customHeight="1" s="19"/>
    <row r="889" ht="14.25" customHeight="1" s="19"/>
    <row r="890" ht="14.25" customHeight="1" s="19"/>
    <row r="891" ht="14.25" customHeight="1" s="19"/>
    <row r="892" ht="14.25" customHeight="1" s="19"/>
    <row r="893" ht="14.25" customHeight="1" s="19"/>
    <row r="894" ht="14.25" customHeight="1" s="19"/>
    <row r="895" ht="14.25" customHeight="1" s="19"/>
    <row r="896" ht="14.25" customHeight="1" s="19"/>
    <row r="897" ht="14.25" customHeight="1" s="19"/>
    <row r="898" ht="14.25" customHeight="1" s="19"/>
    <row r="899" ht="14.25" customHeight="1" s="19"/>
    <row r="900" ht="14.25" customHeight="1" s="19"/>
    <row r="901" ht="14.25" customHeight="1" s="19"/>
    <row r="902" ht="14.25" customHeight="1" s="19"/>
    <row r="903" ht="14.25" customHeight="1" s="19"/>
    <row r="904" ht="14.25" customHeight="1" s="19"/>
    <row r="905" ht="14.25" customHeight="1" s="19"/>
    <row r="906" ht="14.25" customHeight="1" s="19"/>
    <row r="907" ht="14.25" customHeight="1" s="19"/>
    <row r="908" ht="14.25" customHeight="1" s="19"/>
    <row r="909" ht="14.25" customHeight="1" s="19"/>
    <row r="910" ht="14.25" customHeight="1" s="19"/>
    <row r="911" ht="14.25" customHeight="1" s="19"/>
    <row r="912" ht="14.25" customHeight="1" s="19"/>
    <row r="913" ht="14.25" customHeight="1" s="19"/>
    <row r="914" ht="14.25" customHeight="1" s="19"/>
    <row r="915" ht="14.25" customHeight="1" s="19"/>
    <row r="916" ht="14.25" customHeight="1" s="19"/>
    <row r="917" ht="14.25" customHeight="1" s="19"/>
    <row r="918" ht="14.25" customHeight="1" s="19"/>
    <row r="919" ht="14.25" customHeight="1" s="19"/>
    <row r="920" ht="14.25" customHeight="1" s="19"/>
    <row r="921" ht="14.25" customHeight="1" s="19"/>
    <row r="922" ht="14.25" customHeight="1" s="19"/>
    <row r="923" ht="14.25" customHeight="1" s="19"/>
    <row r="924" ht="14.25" customHeight="1" s="19"/>
    <row r="925" ht="14.25" customHeight="1" s="19"/>
    <row r="926" ht="14.25" customHeight="1" s="19"/>
    <row r="927" ht="14.25" customHeight="1" s="19"/>
    <row r="928" ht="14.25" customHeight="1" s="19"/>
    <row r="929" ht="14.25" customHeight="1" s="19"/>
    <row r="930" ht="14.25" customHeight="1" s="19"/>
    <row r="931" ht="14.25" customHeight="1" s="19"/>
    <row r="932" ht="14.25" customHeight="1" s="19"/>
    <row r="933" ht="14.25" customHeight="1" s="19"/>
    <row r="934" ht="14.25" customHeight="1" s="19"/>
    <row r="935" ht="14.25" customHeight="1" s="19"/>
    <row r="936" ht="14.25" customHeight="1" s="19"/>
    <row r="937" ht="14.25" customHeight="1" s="19"/>
    <row r="938" ht="14.25" customHeight="1" s="19"/>
    <row r="939" ht="14.25" customHeight="1" s="19"/>
    <row r="940" ht="14.25" customHeight="1" s="19"/>
    <row r="941" ht="14.25" customHeight="1" s="19"/>
    <row r="942" ht="14.25" customHeight="1" s="19"/>
    <row r="943" ht="14.25" customHeight="1" s="19"/>
    <row r="944" ht="14.25" customHeight="1" s="19"/>
    <row r="945" ht="14.25" customHeight="1" s="19"/>
    <row r="946" ht="14.25" customHeight="1" s="19"/>
    <row r="947" ht="14.25" customHeight="1" s="19"/>
    <row r="948" ht="14.25" customHeight="1" s="19"/>
    <row r="949" ht="14.25" customHeight="1" s="19"/>
    <row r="950" ht="14.25" customHeight="1" s="19"/>
    <row r="951" ht="14.25" customHeight="1" s="19"/>
    <row r="952" ht="14.25" customHeight="1" s="19"/>
    <row r="953" ht="14.25" customHeight="1" s="19"/>
    <row r="954" ht="14.25" customHeight="1" s="19"/>
    <row r="955" ht="14.25" customHeight="1" s="19"/>
    <row r="956" ht="14.25" customHeight="1" s="19"/>
    <row r="957" ht="14.25" customHeight="1" s="19"/>
    <row r="958" ht="14.25" customHeight="1" s="19"/>
    <row r="959" ht="14.25" customHeight="1" s="19"/>
    <row r="960" ht="14.25" customHeight="1" s="19"/>
    <row r="961" ht="14.25" customHeight="1" s="19"/>
    <row r="962" ht="14.25" customHeight="1" s="19"/>
    <row r="963" ht="14.25" customHeight="1" s="19"/>
    <row r="964" ht="14.25" customHeight="1" s="19"/>
    <row r="965" ht="14.25" customHeight="1" s="19"/>
    <row r="966" ht="14.25" customHeight="1" s="19"/>
    <row r="967" ht="14.25" customHeight="1" s="19"/>
    <row r="968" ht="14.25" customHeight="1" s="19"/>
    <row r="969" ht="14.25" customHeight="1" s="19"/>
    <row r="970" ht="14.25" customHeight="1" s="19"/>
    <row r="971" ht="14.25" customHeight="1" s="19"/>
    <row r="972" ht="14.25" customHeight="1" s="19"/>
    <row r="973" ht="14.25" customHeight="1" s="19"/>
    <row r="974" ht="14.25" customHeight="1" s="19"/>
    <row r="975" ht="14.25" customHeight="1" s="19"/>
    <row r="976" ht="14.25" customHeight="1" s="19"/>
    <row r="977" ht="14.25" customHeight="1" s="19"/>
    <row r="978" ht="14.25" customHeight="1" s="19"/>
    <row r="979" ht="14.25" customHeight="1" s="19"/>
    <row r="980" ht="14.25" customHeight="1" s="19"/>
    <row r="981" ht="14.25" customHeight="1" s="19"/>
    <row r="982" ht="14.25" customHeight="1" s="19"/>
    <row r="983" ht="14.25" customHeight="1" s="19"/>
    <row r="984" ht="14.25" customHeight="1" s="19"/>
    <row r="985" ht="14.25" customHeight="1" s="19"/>
    <row r="986" ht="14.25" customHeight="1" s="19"/>
    <row r="987" ht="14.25" customHeight="1" s="19"/>
    <row r="988" ht="14.25" customHeight="1" s="19"/>
    <row r="989" ht="14.25" customHeight="1" s="19"/>
    <row r="990" ht="14.25" customHeight="1" s="19"/>
    <row r="991" ht="14.25" customHeight="1" s="19"/>
    <row r="992" ht="14.25" customHeight="1" s="19"/>
    <row r="993" ht="14.25" customHeight="1" s="19"/>
    <row r="994" ht="14.25" customHeight="1" s="19"/>
    <row r="995" ht="14.25" customHeight="1" s="19"/>
    <row r="996" ht="14.25" customHeight="1" s="19"/>
    <row r="997" ht="14.25" customHeight="1" s="19"/>
    <row r="998" ht="14.25" customHeight="1" s="19"/>
    <row r="999" ht="14.25" customHeight="1" s="19"/>
    <row r="1000" ht="14.25" customHeight="1" s="19"/>
    <row r="1001" ht="14.25" customHeight="1" s="19"/>
    <row r="1002" ht="14.25" customHeight="1" s="19"/>
    <row r="1003" ht="14.25" customHeight="1" s="19"/>
    <row r="1004" ht="14.25" customHeight="1" s="19"/>
    <row r="1005" ht="14.25" customHeight="1" s="19"/>
    <row r="1006" ht="14.25" customHeight="1" s="19"/>
    <row r="1007" ht="14.25" customHeight="1" s="19"/>
    <row r="1008" ht="14.25" customHeight="1" s="19"/>
    <row r="1009" ht="14.25" customHeight="1" s="19"/>
    <row r="1010" ht="14.25" customHeight="1" s="19"/>
    <row r="1011" ht="14.25" customHeight="1" s="19"/>
    <row r="1012" ht="14.25" customHeight="1" s="19"/>
    <row r="1013" ht="14.25" customHeight="1" s="19"/>
    <row r="1014" ht="14.25" customHeight="1" s="19"/>
    <row r="1015" ht="14.25" customHeight="1" s="19"/>
    <row r="1016" ht="14.25" customHeight="1" s="19"/>
    <row r="1017" ht="14.25" customHeight="1" s="19"/>
    <row r="1018" ht="14.25" customHeight="1" s="19"/>
    <row r="1019" ht="14.25" customHeight="1" s="19"/>
    <row r="1020" ht="14.25" customHeight="1" s="19"/>
    <row r="1021" ht="14.25" customHeight="1" s="19"/>
    <row r="1022" ht="14.25" customHeight="1" s="19"/>
    <row r="1023" ht="14.25" customHeight="1" s="19"/>
    <row r="1024" ht="14.25" customHeight="1" s="19"/>
    <row r="1025" ht="14.25" customHeight="1" s="19"/>
    <row r="1026" ht="14.25" customHeight="1" s="19"/>
    <row r="1027" ht="14.25" customHeight="1" s="19"/>
    <row r="1028" ht="14.25" customHeight="1" s="19"/>
    <row r="1029" ht="14.25" customHeight="1" s="19"/>
    <row r="1030" ht="14.25" customHeight="1" s="19"/>
    <row r="1031" ht="14.25" customHeight="1" s="19"/>
    <row r="1032" ht="14.25" customHeight="1" s="19"/>
    <row r="1033" ht="14.25" customHeight="1" s="19"/>
    <row r="1034" ht="14.25" customHeight="1" s="19"/>
    <row r="1035" ht="14.25" customHeight="1" s="19"/>
    <row r="1036" ht="14.25" customHeight="1" s="19"/>
    <row r="1037" ht="14.25" customHeight="1" s="19"/>
    <row r="1038" ht="14.25" customHeight="1" s="19"/>
    <row r="1039" ht="14.25" customHeight="1" s="19"/>
    <row r="1040" ht="14.25" customHeight="1" s="19"/>
    <row r="1041" ht="14.25" customHeight="1" s="19"/>
    <row r="1042" ht="14.25" customHeight="1" s="19"/>
    <row r="1043" ht="14.25" customHeight="1" s="19"/>
    <row r="1044" ht="14.25" customHeight="1" s="19"/>
    <row r="1045" ht="14.25" customHeight="1" s="19"/>
    <row r="1046" ht="14.25" customHeight="1" s="19"/>
    <row r="1047" ht="14.25" customHeight="1" s="19"/>
    <row r="1048" ht="14.25" customHeight="1" s="19"/>
    <row r="1049" ht="14.25" customHeight="1" s="19"/>
    <row r="1050" ht="14.25" customHeight="1" s="19"/>
    <row r="1051" ht="14.25" customHeight="1" s="19"/>
    <row r="1052" ht="14.25" customHeight="1" s="19"/>
    <row r="1053" ht="14.25" customHeight="1" s="19"/>
    <row r="1054" ht="14.25" customHeight="1" s="19"/>
    <row r="1055" ht="14.25" customHeight="1" s="19"/>
    <row r="1056" ht="14.25" customHeight="1" s="19"/>
    <row r="1057" ht="14.25" customHeight="1" s="19"/>
    <row r="1058" ht="14.25" customHeight="1" s="19"/>
    <row r="1059" ht="14.25" customHeight="1" s="19"/>
    <row r="1060" ht="14.25" customHeight="1" s="19"/>
    <row r="1061" ht="14.25" customHeight="1" s="19"/>
    <row r="1062" ht="14.25" customHeight="1" s="19"/>
    <row r="1063" ht="14.25" customHeight="1" s="19"/>
    <row r="1064" ht="14.25" customHeight="1" s="19"/>
    <row r="1065" ht="14.25" customHeight="1" s="19"/>
    <row r="1066" ht="14.25" customHeight="1" s="19"/>
    <row r="1067" ht="14.25" customHeight="1" s="19"/>
    <row r="1068" ht="14.25" customHeight="1" s="19"/>
    <row r="1069" ht="14.25" customHeight="1" s="19"/>
    <row r="1070" ht="14.25" customHeight="1" s="19"/>
    <row r="1071" ht="14.25" customHeight="1" s="19"/>
    <row r="1072" ht="14.25" customHeight="1" s="19"/>
    <row r="1073" ht="14.25" customHeight="1" s="19"/>
    <row r="1074" ht="14.25" customHeight="1" s="19"/>
    <row r="1075" ht="14.25" customHeight="1" s="19"/>
    <row r="1076" ht="14.25" customHeight="1" s="19"/>
    <row r="1077" ht="14.25" customHeight="1" s="19"/>
    <row r="1078" ht="14.25" customHeight="1" s="19"/>
    <row r="1079" ht="14.25" customHeight="1" s="19"/>
    <row r="1080" ht="14.25" customHeight="1" s="19"/>
    <row r="1081" ht="14.25" customHeight="1" s="19"/>
    <row r="1082" ht="14.25" customHeight="1" s="19"/>
    <row r="1083" ht="14.25" customHeight="1" s="19"/>
    <row r="1084" ht="14.25" customHeight="1" s="19"/>
    <row r="1085" ht="14.25" customHeight="1" s="19"/>
    <row r="1086" ht="14.25" customHeight="1" s="19"/>
    <row r="1087" ht="14.25" customHeight="1" s="19"/>
    <row r="1088" ht="14.25" customHeight="1" s="19"/>
    <row r="1089" ht="14.25" customHeight="1" s="19"/>
    <row r="1090" ht="14.25" customHeight="1" s="19"/>
    <row r="1091" ht="14.25" customHeight="1" s="19"/>
    <row r="1092" ht="14.25" customHeight="1" s="19"/>
    <row r="1093" ht="14.25" customHeight="1" s="19"/>
    <row r="1094" ht="14.25" customHeight="1" s="19"/>
    <row r="1095" ht="14.25" customHeight="1" s="19"/>
    <row r="1096" ht="14.25" customHeight="1" s="19"/>
    <row r="1097" ht="14.25" customHeight="1" s="19"/>
    <row r="1098" ht="14.25" customHeight="1" s="19"/>
    <row r="1099" ht="14.25" customHeight="1" s="19"/>
    <row r="1100" ht="14.25" customHeight="1" s="19"/>
    <row r="1101" ht="14.25" customHeight="1" s="19"/>
    <row r="1102" ht="14.25" customHeight="1" s="19"/>
    <row r="1103" ht="14.25" customHeight="1" s="19"/>
    <row r="1104" ht="14.25" customHeight="1" s="19"/>
    <row r="1105" ht="14.25" customHeight="1" s="19"/>
    <row r="1106" ht="14.25" customHeight="1" s="19"/>
    <row r="1107" ht="14.25" customHeight="1" s="19"/>
    <row r="1108" ht="14.25" customHeight="1" s="19"/>
    <row r="1109" ht="14.25" customHeight="1" s="19"/>
    <row r="1110" ht="14.25" customHeight="1" s="19"/>
    <row r="1111" ht="14.25" customHeight="1" s="19"/>
    <row r="1112" ht="14.25" customHeight="1" s="19"/>
    <row r="1113" ht="14.25" customHeight="1" s="19"/>
    <row r="1114" ht="14.25" customHeight="1" s="19"/>
    <row r="1115" ht="14.25" customHeight="1" s="19"/>
    <row r="1116" ht="14.25" customHeight="1" s="19"/>
    <row r="1117" ht="14.25" customHeight="1" s="19"/>
    <row r="1118" ht="14.25" customHeight="1" s="19"/>
    <row r="1119" ht="14.25" customHeight="1" s="19"/>
    <row r="1120" ht="14.25" customHeight="1" s="19"/>
    <row r="1121" ht="14.25" customHeight="1" s="19"/>
    <row r="1122" ht="14.25" customHeight="1" s="19"/>
    <row r="1123" ht="14.25" customHeight="1" s="19"/>
    <row r="1124" ht="14.25" customHeight="1" s="19"/>
    <row r="1125" ht="14.25" customHeight="1" s="19"/>
    <row r="1126" ht="14.25" customHeight="1" s="19"/>
    <row r="1127" ht="14.25" customHeight="1" s="19"/>
    <row r="1128" ht="14.25" customHeight="1" s="19"/>
    <row r="1129" ht="14.25" customHeight="1" s="19"/>
    <row r="1130" ht="14.25" customHeight="1" s="19"/>
    <row r="1131" ht="14.25" customHeight="1" s="19"/>
    <row r="1132" ht="14.25" customHeight="1" s="19"/>
    <row r="1133" ht="14.25" customHeight="1" s="19"/>
    <row r="1134" ht="14.25" customHeight="1" s="19"/>
    <row r="1135" ht="14.25" customHeight="1" s="19"/>
    <row r="1136" ht="14.25" customHeight="1" s="19"/>
    <row r="1137" ht="14.25" customHeight="1" s="19"/>
    <row r="1138" ht="14.25" customHeight="1" s="19"/>
    <row r="1139" ht="14.25" customHeight="1" s="19"/>
    <row r="1140" ht="14.25" customHeight="1" s="19"/>
    <row r="1141" ht="14.25" customHeight="1" s="19"/>
    <row r="1142" ht="14.25" customHeight="1" s="19"/>
    <row r="1143" ht="14.25" customHeight="1" s="19"/>
    <row r="1144" ht="14.25" customHeight="1" s="19"/>
    <row r="1145" ht="14.25" customHeight="1" s="19"/>
    <row r="1146" ht="14.25" customHeight="1" s="19"/>
    <row r="1147" ht="14.25" customHeight="1" s="19"/>
    <row r="1148" ht="14.25" customHeight="1" s="19"/>
    <row r="1149" ht="14.25" customHeight="1" s="19"/>
    <row r="1150" ht="14.25" customHeight="1" s="19"/>
    <row r="1151" ht="14.25" customHeight="1" s="19"/>
    <row r="1152" ht="14.25" customHeight="1" s="19"/>
    <row r="1153" ht="14.25" customHeight="1" s="19"/>
    <row r="1154" ht="14.25" customHeight="1" s="19"/>
    <row r="1155" ht="14.25" customHeight="1" s="19"/>
    <row r="1156" ht="14.25" customHeight="1" s="19"/>
    <row r="1157" ht="14.25" customHeight="1" s="19"/>
    <row r="1158" ht="14.25" customHeight="1" s="19"/>
    <row r="1159" ht="14.25" customHeight="1" s="19"/>
    <row r="1160" ht="14.25" customHeight="1" s="19"/>
    <row r="1161" ht="14.25" customHeight="1" s="19"/>
    <row r="1162" ht="14.25" customHeight="1" s="19"/>
    <row r="1163" ht="14.25" customHeight="1" s="19"/>
    <row r="1164" ht="14.25" customHeight="1" s="19"/>
    <row r="1165" ht="14.25" customHeight="1" s="19"/>
    <row r="1166" ht="14.25" customHeight="1" s="19"/>
    <row r="1167" ht="14.25" customHeight="1" s="19"/>
    <row r="1168" ht="14.25" customHeight="1" s="19"/>
    <row r="1169" ht="14.25" customHeight="1" s="19"/>
    <row r="1170" ht="14.25" customHeight="1" s="19"/>
    <row r="1171" ht="14.25" customHeight="1" s="19"/>
    <row r="1172" ht="14.25" customHeight="1" s="19"/>
    <row r="1173" ht="14.25" customHeight="1" s="19"/>
    <row r="1174" ht="14.25" customHeight="1" s="19"/>
    <row r="1175" ht="14.25" customHeight="1" s="19"/>
    <row r="1176" ht="14.25" customHeight="1" s="19"/>
    <row r="1177" ht="14.25" customHeight="1" s="19"/>
    <row r="1178" ht="14.25" customHeight="1" s="19"/>
    <row r="1179" ht="14.25" customHeight="1" s="19"/>
    <row r="1180" ht="14.25" customHeight="1" s="19"/>
    <row r="1181" ht="14.25" customHeight="1" s="19"/>
    <row r="1182" ht="14.25" customHeight="1" s="19"/>
    <row r="1183" ht="14.25" customHeight="1" s="19"/>
    <row r="1184" ht="14.25" customHeight="1" s="19"/>
    <row r="1185" ht="14.25" customHeight="1" s="19"/>
    <row r="1186" ht="14.25" customHeight="1" s="19"/>
    <row r="1187" ht="14.25" customHeight="1" s="19"/>
    <row r="1188" ht="14.25" customHeight="1" s="19"/>
    <row r="1189" ht="14.25" customHeight="1" s="19"/>
    <row r="1190" ht="14.25" customHeight="1" s="19"/>
    <row r="1191" ht="14.25" customHeight="1" s="19"/>
    <row r="1192" ht="14.25" customHeight="1" s="19"/>
    <row r="1193" ht="14.25" customHeight="1" s="19"/>
    <row r="1194" ht="14.25" customHeight="1" s="19"/>
    <row r="1195" ht="14.25" customHeight="1" s="19"/>
    <row r="1196" ht="14.25" customHeight="1" s="19"/>
    <row r="1197" ht="14.25" customHeight="1" s="19"/>
    <row r="1198" ht="14.25" customHeight="1" s="19"/>
    <row r="1199" ht="14.25" customHeight="1" s="19"/>
    <row r="1200" ht="14.25" customHeight="1" s="19"/>
    <row r="1201" ht="14.25" customHeight="1" s="19"/>
    <row r="1202" ht="14.25" customHeight="1" s="19"/>
    <row r="1203" ht="14.25" customHeight="1" s="19"/>
    <row r="1204" ht="14.25" customHeight="1" s="19"/>
    <row r="1205" ht="14.25" customHeight="1" s="19"/>
    <row r="1206" ht="14.25" customHeight="1" s="19"/>
    <row r="1207" ht="14.25" customHeight="1" s="19"/>
    <row r="1208" ht="14.25" customHeight="1" s="19"/>
    <row r="1209" ht="14.25" customHeight="1" s="19"/>
    <row r="1210" ht="14.25" customHeight="1" s="19"/>
    <row r="1211" ht="14.25" customHeight="1" s="19"/>
    <row r="1212" ht="14.25" customHeight="1" s="19"/>
    <row r="1213" ht="14.25" customHeight="1" s="19"/>
    <row r="1214" ht="14.25" customHeight="1" s="19"/>
    <row r="1215" ht="14.25" customHeight="1" s="19"/>
    <row r="1216" ht="14.25" customHeight="1" s="19"/>
    <row r="1217" ht="14.25" customHeight="1" s="19"/>
    <row r="1218" ht="14.25" customHeight="1" s="19"/>
    <row r="1219" ht="14.25" customHeight="1" s="19"/>
    <row r="1220" ht="14.25" customHeight="1" s="19"/>
    <row r="1221" ht="14.25" customHeight="1" s="19"/>
    <row r="1222" ht="14.25" customHeight="1" s="19"/>
    <row r="1223" ht="14.25" customHeight="1" s="19"/>
    <row r="1224" ht="14.25" customHeight="1" s="19"/>
    <row r="1225" ht="14.25" customHeight="1" s="19"/>
    <row r="1226" ht="14.25" customHeight="1" s="19"/>
    <row r="1227" ht="14.25" customHeight="1" s="19"/>
    <row r="1228" ht="14.25" customHeight="1" s="19"/>
    <row r="1229" ht="14.25" customHeight="1" s="19"/>
    <row r="1230" ht="14.25" customHeight="1" s="19"/>
    <row r="1231" ht="14.25" customHeight="1" s="19"/>
    <row r="1232" ht="14.25" customHeight="1" s="19"/>
    <row r="1233" ht="14.25" customHeight="1" s="19"/>
    <row r="1234" ht="14.25" customHeight="1" s="19"/>
    <row r="1235" ht="14.25" customHeight="1" s="19"/>
    <row r="1236" ht="14.25" customHeight="1" s="19"/>
    <row r="1237" ht="14.25" customHeight="1" s="19"/>
    <row r="1238" ht="14.25" customHeight="1" s="19"/>
    <row r="1239" ht="14.25" customHeight="1" s="19"/>
    <row r="1240" ht="14.25" customHeight="1" s="19"/>
    <row r="1241" ht="14.25" customHeight="1" s="19"/>
    <row r="1242" ht="14.25" customHeight="1" s="19"/>
    <row r="1243" ht="14.25" customHeight="1" s="19"/>
    <row r="1244" ht="14.25" customHeight="1" s="19"/>
    <row r="1245" ht="14.25" customHeight="1" s="19"/>
    <row r="1246" ht="14.25" customHeight="1" s="19"/>
    <row r="1247" ht="14.25" customHeight="1" s="19"/>
    <row r="1248" ht="14.25" customHeight="1" s="19"/>
    <row r="1249" ht="14.25" customHeight="1" s="19"/>
    <row r="1250" ht="14.25" customHeight="1" s="19"/>
    <row r="1251" ht="14.25" customHeight="1" s="19"/>
    <row r="1252" ht="14.25" customHeight="1" s="19"/>
    <row r="1253" ht="14.25" customHeight="1" s="19"/>
    <row r="1254" ht="14.25" customHeight="1" s="19"/>
    <row r="1255" ht="14.25" customHeight="1" s="19"/>
    <row r="1256" ht="14.25" customHeight="1" s="19"/>
    <row r="1257" ht="14.25" customHeight="1" s="19"/>
    <row r="1258" ht="14.25" customHeight="1" s="19"/>
    <row r="1259" ht="14.25" customHeight="1" s="19"/>
    <row r="1260" ht="14.25" customHeight="1" s="19"/>
    <row r="1261" ht="14.25" customHeight="1" s="19"/>
    <row r="1262" ht="14.25" customHeight="1" s="19"/>
    <row r="1263" ht="14.25" customHeight="1" s="19"/>
    <row r="1264" ht="14.25" customHeight="1" s="19"/>
    <row r="1265" ht="14.25" customHeight="1" s="19"/>
    <row r="1266" ht="14.25" customHeight="1" s="19"/>
    <row r="1267" ht="14.25" customHeight="1" s="19"/>
    <row r="1268" ht="14.25" customHeight="1" s="19"/>
    <row r="1269" ht="14.25" customHeight="1" s="19"/>
    <row r="1270" ht="14.25" customHeight="1" s="19"/>
    <row r="1271" ht="14.25" customHeight="1" s="19"/>
    <row r="1272" ht="14.25" customHeight="1" s="19"/>
    <row r="1273" ht="14.25" customHeight="1" s="19"/>
    <row r="1274" ht="14.25" customHeight="1" s="19"/>
    <row r="1275" ht="14.25" customHeight="1" s="19"/>
    <row r="1276" ht="14.25" customHeight="1" s="19"/>
    <row r="1277" ht="14.25" customHeight="1" s="19"/>
    <row r="1278" ht="14.25" customHeight="1" s="19"/>
    <row r="1279" ht="14.25" customHeight="1" s="19"/>
    <row r="1280" ht="14.25" customHeight="1" s="19"/>
    <row r="1281" ht="14.25" customHeight="1" s="19"/>
    <row r="1282" ht="14.25" customHeight="1" s="19"/>
    <row r="1283" ht="14.25" customHeight="1" s="19"/>
    <row r="1284" ht="14.25" customHeight="1" s="19"/>
    <row r="1285" ht="14.25" customHeight="1" s="19"/>
    <row r="1286" ht="14.25" customHeight="1" s="19"/>
    <row r="1287" ht="14.25" customHeight="1" s="19"/>
    <row r="1288" ht="14.25" customHeight="1" s="19"/>
    <row r="1289" ht="14.25" customHeight="1" s="19"/>
    <row r="1290" ht="14.25" customHeight="1" s="19"/>
    <row r="1291" ht="14.25" customHeight="1" s="19"/>
    <row r="1292" ht="14.25" customHeight="1" s="19"/>
    <row r="1293" ht="14.25" customHeight="1" s="19"/>
    <row r="1294" ht="14.25" customHeight="1" s="19"/>
    <row r="1295" ht="14.25" customHeight="1" s="19"/>
    <row r="1296" ht="14.25" customHeight="1" s="19"/>
    <row r="1297" ht="14.25" customHeight="1" s="19"/>
    <row r="1298" ht="14.25" customHeight="1" s="19"/>
    <row r="1299" ht="14.25" customHeight="1" s="19"/>
    <row r="1300" ht="14.25" customHeight="1" s="19"/>
    <row r="1301" ht="14.25" customHeight="1" s="19"/>
    <row r="1302" ht="14.25" customHeight="1" s="19"/>
    <row r="1303" ht="14.25" customHeight="1" s="19"/>
    <row r="1304" ht="14.25" customHeight="1" s="19"/>
    <row r="1305" ht="14.25" customHeight="1" s="19"/>
    <row r="1306" ht="14.25" customHeight="1" s="19"/>
    <row r="1307" ht="14.25" customHeight="1" s="19"/>
    <row r="1308" ht="14.25" customHeight="1" s="19"/>
    <row r="1309" ht="14.25" customHeight="1" s="19"/>
    <row r="1310" ht="14.25" customHeight="1" s="19"/>
    <row r="1311" ht="14.25" customHeight="1" s="19"/>
    <row r="1312" ht="14.25" customHeight="1" s="19"/>
    <row r="1313" ht="14.25" customHeight="1" s="19"/>
    <row r="1314" ht="14.25" customHeight="1" s="19"/>
    <row r="1315" ht="14.25" customHeight="1" s="19"/>
    <row r="1316" ht="14.25" customHeight="1" s="19"/>
    <row r="1317" ht="14.25" customHeight="1" s="19"/>
    <row r="1318" ht="14.25" customHeight="1" s="19"/>
    <row r="1319" ht="14.25" customHeight="1" s="19"/>
    <row r="1320" ht="14.25" customHeight="1" s="19"/>
    <row r="1321" ht="14.25" customHeight="1" s="19"/>
    <row r="1322" ht="14.25" customHeight="1" s="19"/>
    <row r="1323" ht="14.25" customHeight="1" s="19"/>
    <row r="1324" ht="14.25" customHeight="1" s="19"/>
    <row r="1325" ht="14.25" customHeight="1" s="19"/>
    <row r="1326" ht="14.25" customHeight="1" s="19"/>
    <row r="1327" ht="14.25" customHeight="1" s="19"/>
    <row r="1328" ht="14.25" customHeight="1" s="19"/>
    <row r="1329" ht="14.25" customHeight="1" s="19"/>
    <row r="1330" ht="14.25" customHeight="1" s="19"/>
    <row r="1331" ht="14.25" customHeight="1" s="19"/>
    <row r="1332" ht="14.25" customHeight="1" s="19"/>
    <row r="1333" ht="14.25" customHeight="1" s="19"/>
    <row r="1334" ht="14.25" customHeight="1" s="19"/>
    <row r="1335" ht="14.25" customHeight="1" s="19"/>
    <row r="1336" ht="14.25" customHeight="1" s="19"/>
    <row r="1337" ht="14.25" customHeight="1" s="19"/>
    <row r="1338" ht="14.25" customHeight="1" s="19"/>
    <row r="1339" ht="14.25" customHeight="1" s="19"/>
    <row r="1340" ht="14.25" customHeight="1" s="19"/>
    <row r="1341" ht="14.25" customHeight="1" s="19"/>
    <row r="1342" ht="14.25" customHeight="1" s="19"/>
    <row r="1343" ht="14.25" customHeight="1" s="19"/>
    <row r="1344" ht="14.25" customHeight="1" s="19"/>
    <row r="1345" ht="14.25" customHeight="1" s="19"/>
    <row r="1346" ht="14.25" customHeight="1" s="19"/>
    <row r="1347" ht="14.25" customHeight="1" s="19"/>
    <row r="1348" ht="14.25" customHeight="1" s="19"/>
    <row r="1349" ht="14.25" customHeight="1" s="19"/>
    <row r="1350" ht="14.25" customHeight="1" s="19"/>
    <row r="1351" ht="14.25" customHeight="1" s="19"/>
    <row r="1352" ht="14.25" customHeight="1" s="19"/>
    <row r="1353" ht="14.25" customHeight="1" s="19"/>
    <row r="1354" ht="14.25" customHeight="1" s="19"/>
    <row r="1355" ht="14.25" customHeight="1" s="19"/>
    <row r="1356" ht="14.25" customHeight="1" s="19"/>
    <row r="1357" ht="14.25" customHeight="1" s="19"/>
    <row r="1358" ht="14.25" customHeight="1" s="19"/>
    <row r="1359" ht="14.25" customHeight="1" s="19"/>
    <row r="1360" ht="14.25" customHeight="1" s="19"/>
    <row r="1361" ht="14.25" customHeight="1" s="19"/>
    <row r="1362" ht="14.25" customHeight="1" s="19"/>
    <row r="1363" ht="14.25" customHeight="1" s="19"/>
    <row r="1364" ht="14.25" customHeight="1" s="19"/>
    <row r="1365" ht="14.25" customHeight="1" s="19"/>
    <row r="1366" ht="14.25" customHeight="1" s="19"/>
    <row r="1367" ht="14.25" customHeight="1" s="19"/>
    <row r="1368" ht="14.25" customHeight="1" s="19"/>
    <row r="1369" ht="14.25" customHeight="1" s="19"/>
    <row r="1370" ht="14.25" customHeight="1" s="19"/>
    <row r="1371" ht="14.25" customHeight="1" s="19"/>
    <row r="1372" ht="14.25" customHeight="1" s="19"/>
    <row r="1373" ht="14.25" customHeight="1" s="19"/>
    <row r="1374" ht="14.25" customHeight="1" s="19"/>
    <row r="1375" ht="14.25" customHeight="1" s="19"/>
    <row r="1376" ht="14.25" customHeight="1" s="19"/>
    <row r="1377" ht="14.25" customHeight="1" s="19"/>
    <row r="1378" ht="14.25" customHeight="1" s="19"/>
    <row r="1379" ht="14.25" customHeight="1" s="19"/>
    <row r="1380" ht="14.25" customHeight="1" s="19"/>
    <row r="1381" ht="14.25" customHeight="1" s="19"/>
    <row r="1382" ht="14.25" customHeight="1" s="19"/>
    <row r="1383" ht="14.25" customHeight="1" s="19"/>
    <row r="1384" ht="14.25" customHeight="1" s="19"/>
    <row r="1385" ht="14.25" customHeight="1" s="19"/>
    <row r="1386" ht="14.25" customHeight="1" s="19"/>
    <row r="1387" ht="14.25" customHeight="1" s="19"/>
    <row r="1388" ht="14.25" customHeight="1" s="19"/>
    <row r="1389" ht="14.25" customHeight="1" s="19"/>
    <row r="1390" ht="14.25" customHeight="1" s="19"/>
    <row r="1391" ht="14.25" customHeight="1" s="19"/>
    <row r="1392" ht="14.25" customHeight="1" s="19"/>
    <row r="1393" ht="14.25" customHeight="1" s="19"/>
    <row r="1394" ht="14.25" customHeight="1" s="19"/>
    <row r="1395" ht="14.25" customHeight="1" s="19"/>
    <row r="1396" ht="14.25" customHeight="1" s="19"/>
    <row r="1397" ht="14.25" customHeight="1" s="19"/>
    <row r="1398" ht="14.25" customHeight="1" s="19"/>
    <row r="1399" ht="14.25" customHeight="1" s="19"/>
    <row r="1400" ht="14.25" customHeight="1" s="19"/>
    <row r="1401" ht="14.25" customHeight="1" s="19"/>
    <row r="1402" ht="14.25" customHeight="1" s="19"/>
    <row r="1403" ht="14.25" customHeight="1" s="19"/>
    <row r="1404" ht="14.25" customHeight="1" s="19"/>
    <row r="1405" ht="14.25" customHeight="1" s="19"/>
    <row r="1406" ht="14.25" customHeight="1" s="19"/>
    <row r="1407" ht="14.25" customHeight="1" s="19"/>
    <row r="1408" ht="14.25" customHeight="1" s="19"/>
    <row r="1409" ht="14.25" customHeight="1" s="19"/>
    <row r="1410" ht="14.25" customHeight="1" s="19"/>
    <row r="1411" ht="14.25" customHeight="1" s="19"/>
    <row r="1412" ht="14.25" customHeight="1" s="19"/>
    <row r="1413" ht="14.25" customHeight="1" s="19"/>
    <row r="1414" ht="14.25" customHeight="1" s="19"/>
    <row r="1415" ht="14.25" customHeight="1" s="19"/>
    <row r="1416" ht="14.25" customHeight="1" s="19"/>
    <row r="1417" ht="14.25" customHeight="1" s="19"/>
    <row r="1418" ht="14.25" customHeight="1" s="19"/>
    <row r="1419" ht="14.25" customHeight="1" s="19"/>
    <row r="1420" ht="14.25" customHeight="1" s="19"/>
    <row r="1421" ht="14.25" customHeight="1" s="19"/>
    <row r="1422" ht="14.25" customHeight="1" s="19"/>
    <row r="1423" ht="14.25" customHeight="1" s="19"/>
    <row r="1424" ht="14.25" customHeight="1" s="19"/>
    <row r="1425" ht="14.25" customHeight="1" s="19"/>
    <row r="1426" ht="14.25" customHeight="1" s="19"/>
    <row r="1427" ht="14.25" customHeight="1" s="19"/>
    <row r="1428" ht="14.25" customHeight="1" s="19"/>
    <row r="1429" ht="14.25" customHeight="1" s="19"/>
    <row r="1430" ht="14.25" customHeight="1" s="19"/>
    <row r="1431" ht="14.25" customHeight="1" s="19"/>
    <row r="1432" ht="14.25" customHeight="1" s="19"/>
    <row r="1433" ht="14.25" customHeight="1" s="19"/>
    <row r="1434" ht="14.25" customHeight="1" s="19"/>
    <row r="1435" ht="14.25" customHeight="1" s="19"/>
    <row r="1436" ht="14.25" customHeight="1" s="19"/>
    <row r="1437" ht="14.25" customHeight="1" s="19"/>
    <row r="1438" ht="14.25" customHeight="1" s="19"/>
    <row r="1439" ht="14.25" customHeight="1" s="19"/>
    <row r="1440" ht="14.25" customHeight="1" s="19"/>
    <row r="1441" ht="14.25" customHeight="1" s="19"/>
    <row r="1442" ht="14.25" customHeight="1" s="19"/>
    <row r="1443" ht="14.25" customHeight="1" s="19"/>
    <row r="1444" ht="14.25" customHeight="1" s="19"/>
    <row r="1445" ht="14.25" customHeight="1" s="19"/>
    <row r="1446" ht="14.25" customHeight="1" s="19"/>
    <row r="1447" ht="14.25" customHeight="1" s="19"/>
    <row r="1448" ht="14.25" customHeight="1" s="19"/>
    <row r="1449" ht="14.25" customHeight="1" s="19"/>
    <row r="1450" ht="14.25" customHeight="1" s="19"/>
    <row r="1451" ht="14.25" customHeight="1" s="19"/>
    <row r="1452" ht="14.25" customHeight="1" s="19"/>
    <row r="1453" ht="14.25" customHeight="1" s="19"/>
    <row r="1454" ht="14.25" customHeight="1" s="19"/>
    <row r="1455" ht="14.25" customHeight="1" s="19"/>
    <row r="1456" ht="14.25" customHeight="1" s="19"/>
    <row r="1457" ht="14.25" customHeight="1" s="19"/>
    <row r="1458" ht="14.25" customHeight="1" s="19"/>
    <row r="1459" ht="14.25" customHeight="1" s="19"/>
    <row r="1460" ht="14.25" customHeight="1" s="19"/>
    <row r="1461" ht="14.25" customHeight="1" s="19"/>
    <row r="1462" ht="14.25" customHeight="1" s="19"/>
    <row r="1463" ht="14.25" customHeight="1" s="19"/>
    <row r="1464" ht="14.25" customHeight="1" s="19"/>
    <row r="1465" ht="14.25" customHeight="1" s="19"/>
    <row r="1466" ht="14.25" customHeight="1" s="19"/>
    <row r="1467" ht="14.25" customHeight="1" s="19"/>
    <row r="1468" ht="14.25" customHeight="1" s="19"/>
    <row r="1469" ht="14.25" customHeight="1" s="19"/>
    <row r="1470" ht="14.25" customHeight="1" s="19"/>
    <row r="1471" ht="14.25" customHeight="1" s="19"/>
    <row r="1472" ht="14.25" customHeight="1" s="19"/>
    <row r="1473" ht="14.25" customHeight="1" s="19"/>
    <row r="1474" ht="14.25" customHeight="1" s="19"/>
    <row r="1475" ht="14.25" customHeight="1" s="19"/>
    <row r="1476" ht="14.25" customHeight="1" s="19"/>
    <row r="1477" ht="14.25" customHeight="1" s="19"/>
    <row r="1478" ht="14.25" customHeight="1" s="19"/>
    <row r="1479" ht="14.25" customHeight="1" s="19"/>
    <row r="1480" ht="14.25" customHeight="1" s="19"/>
    <row r="1481" ht="14.25" customHeight="1" s="19"/>
    <row r="1482" ht="14.25" customHeight="1" s="19"/>
    <row r="1483" ht="14.25" customHeight="1" s="19"/>
    <row r="1484" ht="14.25" customHeight="1" s="19"/>
    <row r="1485" ht="14.25" customHeight="1" s="19"/>
    <row r="1486" ht="14.25" customHeight="1" s="19"/>
    <row r="1487" ht="14.25" customHeight="1" s="19"/>
    <row r="1488" ht="14.25" customHeight="1" s="19"/>
    <row r="1489" ht="14.25" customHeight="1" s="19"/>
    <row r="1490" ht="14.25" customHeight="1" s="19"/>
    <row r="1491" ht="14.25" customHeight="1" s="19"/>
    <row r="1492" ht="14.25" customHeight="1" s="19"/>
    <row r="1493" ht="14.25" customHeight="1" s="19"/>
    <row r="1494" ht="14.25" customHeight="1" s="19"/>
    <row r="1495" ht="14.25" customHeight="1" s="19"/>
    <row r="1496" ht="14.25" customHeight="1" s="19"/>
    <row r="1497" ht="14.25" customHeight="1" s="19"/>
    <row r="1498" ht="14.25" customHeight="1" s="19"/>
    <row r="1499" ht="14.25" customHeight="1" s="19"/>
    <row r="1500" ht="14.25" customHeight="1" s="19"/>
    <row r="1501" ht="14.25" customHeight="1" s="19"/>
    <row r="1502" ht="14.25" customHeight="1" s="19"/>
    <row r="1503" ht="14.25" customHeight="1" s="19"/>
    <row r="1504" ht="14.25" customHeight="1" s="19"/>
    <row r="1505" ht="14.25" customHeight="1" s="19"/>
    <row r="1506" ht="14.25" customHeight="1" s="19"/>
    <row r="1507" ht="14.25" customHeight="1" s="19"/>
    <row r="1508" ht="14.25" customHeight="1" s="19"/>
    <row r="1509" ht="14.25" customHeight="1" s="19"/>
    <row r="1510" ht="14.25" customHeight="1" s="19"/>
    <row r="1511" ht="14.25" customHeight="1" s="19"/>
    <row r="1512" ht="14.25" customHeight="1" s="19"/>
    <row r="1513" ht="14.25" customHeight="1" s="19"/>
    <row r="1514" ht="14.25" customHeight="1" s="19"/>
    <row r="1515" ht="14.25" customHeight="1" s="19"/>
    <row r="1516" ht="14.25" customHeight="1" s="19"/>
    <row r="1517" ht="14.25" customHeight="1" s="19"/>
    <row r="1518" ht="14.25" customHeight="1" s="19"/>
    <row r="1519" ht="14.25" customHeight="1" s="19"/>
    <row r="1520" ht="14.25" customHeight="1" s="19"/>
    <row r="1521" ht="14.25" customHeight="1" s="19"/>
    <row r="1522" ht="14.25" customHeight="1" s="19"/>
    <row r="1523" ht="14.25" customHeight="1" s="19"/>
    <row r="1524" ht="14.25" customHeight="1" s="19"/>
    <row r="1525" ht="14.25" customHeight="1" s="19"/>
    <row r="1526" ht="14.25" customHeight="1" s="19"/>
    <row r="1527" ht="14.25" customHeight="1" s="19"/>
    <row r="1528" ht="14.25" customHeight="1" s="19"/>
    <row r="1529" ht="14.25" customHeight="1" s="19"/>
    <row r="1530" ht="14.25" customHeight="1" s="19"/>
    <row r="1531" ht="14.25" customHeight="1" s="19"/>
    <row r="1532" ht="14.25" customHeight="1" s="19"/>
    <row r="1533" ht="14.25" customHeight="1" s="19"/>
    <row r="1534" ht="14.25" customHeight="1" s="19"/>
    <row r="1535" ht="14.25" customHeight="1" s="19"/>
    <row r="1536" ht="14.25" customHeight="1" s="19"/>
    <row r="1537" ht="14.25" customHeight="1" s="19"/>
    <row r="1538" ht="14.25" customHeight="1" s="19"/>
    <row r="1539" ht="14.25" customHeight="1" s="19"/>
    <row r="1540" ht="14.25" customHeight="1" s="19"/>
    <row r="1541" ht="14.25" customHeight="1" s="19"/>
    <row r="1542" ht="14.25" customHeight="1" s="19"/>
    <row r="1543" ht="14.25" customHeight="1" s="19"/>
    <row r="1544" ht="14.25" customHeight="1" s="19"/>
    <row r="1545" ht="14.25" customHeight="1" s="19"/>
    <row r="1546" ht="14.25" customHeight="1" s="19"/>
    <row r="1547" ht="14.25" customHeight="1" s="19"/>
    <row r="1548" ht="14.25" customHeight="1" s="19"/>
    <row r="1549" ht="14.25" customHeight="1" s="19"/>
    <row r="1550" ht="14.25" customHeight="1" s="19"/>
    <row r="1551" ht="14.25" customHeight="1" s="19"/>
    <row r="1552" ht="14.25" customHeight="1" s="19"/>
    <row r="1553" ht="14.25" customHeight="1" s="19"/>
    <row r="1554" ht="14.25" customHeight="1" s="19"/>
    <row r="1555" ht="14.25" customHeight="1" s="19"/>
    <row r="1556" ht="14.25" customHeight="1" s="19"/>
    <row r="1557" ht="14.25" customHeight="1" s="19"/>
    <row r="1558" ht="14.25" customHeight="1" s="19"/>
    <row r="1559" ht="14.25" customHeight="1" s="19"/>
    <row r="1560" ht="14.25" customHeight="1" s="19"/>
    <row r="1561" ht="14.25" customHeight="1" s="19"/>
    <row r="1562" ht="14.25" customHeight="1" s="19"/>
    <row r="1563" ht="14.25" customHeight="1" s="19"/>
    <row r="1564" ht="14.25" customHeight="1" s="19"/>
    <row r="1565" ht="14.25" customHeight="1" s="19"/>
    <row r="1566" ht="14.25" customHeight="1" s="19"/>
    <row r="1567" ht="14.25" customHeight="1" s="19"/>
    <row r="1568" ht="14.25" customHeight="1" s="19"/>
    <row r="1569" ht="14.25" customHeight="1" s="19"/>
    <row r="1570" ht="14.25" customHeight="1" s="19"/>
    <row r="1571" ht="14.25" customHeight="1" s="19"/>
    <row r="1572" ht="14.25" customHeight="1" s="19"/>
    <row r="1573" ht="14.25" customHeight="1" s="19"/>
    <row r="1574" ht="14.25" customHeight="1" s="19"/>
    <row r="1575" ht="14.25" customHeight="1" s="19"/>
    <row r="1576" ht="14.25" customHeight="1" s="19"/>
    <row r="1577" ht="14.25" customHeight="1" s="19"/>
    <row r="1578" ht="14.25" customHeight="1" s="19"/>
    <row r="1579" ht="14.25" customHeight="1" s="19"/>
    <row r="1580" ht="14.25" customHeight="1" s="19"/>
    <row r="1581" ht="14.25" customHeight="1" s="19"/>
    <row r="1582" ht="14.25" customHeight="1" s="19"/>
    <row r="1583" ht="14.25" customHeight="1" s="19"/>
    <row r="1584" ht="14.25" customHeight="1" s="19"/>
    <row r="1585" ht="14.25" customHeight="1" s="19"/>
    <row r="1586" ht="14.25" customHeight="1" s="19"/>
    <row r="1587" ht="14.25" customHeight="1" s="19"/>
    <row r="1588" ht="14.25" customHeight="1" s="19"/>
    <row r="1589" ht="14.25" customHeight="1" s="19"/>
    <row r="1590" ht="14.25" customHeight="1" s="19"/>
    <row r="1591" ht="14.25" customHeight="1" s="19"/>
    <row r="1592" ht="14.25" customHeight="1" s="19"/>
    <row r="1593" ht="14.25" customHeight="1" s="19"/>
    <row r="1594" ht="14.25" customHeight="1" s="19"/>
    <row r="1595" ht="14.25" customHeight="1" s="19"/>
    <row r="1596" ht="14.25" customHeight="1" s="19"/>
    <row r="1597" ht="14.25" customHeight="1" s="19"/>
    <row r="1598" ht="14.25" customHeight="1" s="19"/>
    <row r="1599" ht="14.25" customHeight="1" s="19"/>
    <row r="1600" ht="14.25" customHeight="1" s="19"/>
    <row r="1601" ht="14.25" customHeight="1" s="19"/>
    <row r="1602" ht="14.25" customHeight="1" s="19"/>
    <row r="1603" ht="14.25" customHeight="1" s="19"/>
    <row r="1604" ht="14.25" customHeight="1" s="19"/>
    <row r="1605" ht="14.25" customHeight="1" s="19"/>
    <row r="1606" ht="14.25" customHeight="1" s="19"/>
    <row r="1607" ht="14.25" customHeight="1" s="19"/>
    <row r="1608" ht="14.25" customHeight="1" s="19"/>
    <row r="1609" ht="14.25" customHeight="1" s="19"/>
    <row r="1610" ht="14.25" customHeight="1" s="19"/>
    <row r="1611" ht="14.25" customHeight="1" s="19"/>
    <row r="1612" ht="14.25" customHeight="1" s="19"/>
    <row r="1613" ht="14.25" customHeight="1" s="19"/>
    <row r="1614" ht="14.25" customHeight="1" s="19"/>
    <row r="1615" ht="14.25" customHeight="1" s="19"/>
    <row r="1616" ht="14.25" customHeight="1" s="19"/>
    <row r="1617" ht="14.25" customHeight="1" s="19"/>
    <row r="1618" ht="14.25" customHeight="1" s="19"/>
    <row r="1619" ht="14.25" customHeight="1" s="19"/>
    <row r="1620" ht="14.25" customHeight="1" s="19"/>
    <row r="1621" ht="14.25" customHeight="1" s="19"/>
    <row r="1622" ht="14.25" customHeight="1" s="19"/>
    <row r="1623" ht="14.25" customHeight="1" s="19"/>
    <row r="1624" ht="14.25" customHeight="1" s="19"/>
    <row r="1625" ht="14.25" customHeight="1" s="19"/>
    <row r="1626" ht="14.25" customHeight="1" s="19"/>
    <row r="1627" ht="14.25" customHeight="1" s="19"/>
    <row r="1628" ht="14.25" customHeight="1" s="19"/>
    <row r="1629" ht="14.25" customHeight="1" s="19"/>
    <row r="1630" ht="14.25" customHeight="1" s="19"/>
    <row r="1631" ht="14.25" customHeight="1" s="19"/>
    <row r="1632" ht="14.25" customHeight="1" s="19"/>
    <row r="1633" ht="14.25" customHeight="1" s="19"/>
    <row r="1634" ht="14.25" customHeight="1" s="19"/>
    <row r="1635" ht="14.25" customHeight="1" s="19"/>
    <row r="1636" ht="14.25" customHeight="1" s="19"/>
    <row r="1637" ht="14.25" customHeight="1" s="19"/>
    <row r="1638" ht="14.25" customHeight="1" s="19"/>
    <row r="1639" ht="14.25" customHeight="1" s="19"/>
    <row r="1640" ht="14.25" customHeight="1" s="19"/>
    <row r="1641" ht="14.25" customHeight="1" s="19"/>
    <row r="1642" ht="14.25" customHeight="1" s="19"/>
    <row r="1643" ht="14.25" customHeight="1" s="19"/>
    <row r="1644" ht="14.25" customHeight="1" s="19"/>
    <row r="1645" ht="14.25" customHeight="1" s="19"/>
    <row r="1646" ht="14.25" customHeight="1" s="19"/>
    <row r="1647" ht="14.25" customHeight="1" s="19"/>
    <row r="1648" ht="14.25" customHeight="1" s="19"/>
    <row r="1649" ht="14.25" customHeight="1" s="19"/>
    <row r="1650" ht="14.25" customHeight="1" s="19"/>
    <row r="1651" ht="14.25" customHeight="1" s="19"/>
    <row r="1652" ht="14.25" customHeight="1" s="19"/>
    <row r="1653" ht="14.25" customHeight="1" s="19"/>
    <row r="1654" ht="14.25" customHeight="1" s="19"/>
    <row r="1655" ht="14.25" customHeight="1" s="19"/>
    <row r="1656" ht="14.25" customHeight="1" s="19"/>
    <row r="1657" ht="14.25" customHeight="1" s="19"/>
    <row r="1658" ht="14.25" customHeight="1" s="19"/>
    <row r="1659" ht="14.25" customHeight="1" s="19"/>
    <row r="1660" ht="14.25" customHeight="1" s="19"/>
    <row r="1661" ht="14.25" customHeight="1" s="19"/>
    <row r="1662" ht="14.25" customHeight="1" s="19"/>
    <row r="1663" ht="14.25" customHeight="1" s="19"/>
    <row r="1664" ht="14.25" customHeight="1" s="19"/>
    <row r="1665" ht="14.25" customHeight="1" s="19"/>
    <row r="1666" ht="14.25" customHeight="1" s="19"/>
    <row r="1667" ht="14.25" customHeight="1" s="19"/>
    <row r="1668" ht="14.25" customHeight="1" s="19"/>
    <row r="1669" ht="14.25" customHeight="1" s="19"/>
    <row r="1670" ht="14.25" customHeight="1" s="19"/>
    <row r="1671" ht="14.25" customHeight="1" s="19"/>
    <row r="1672" ht="14.25" customHeight="1" s="19"/>
    <row r="1673" ht="14.25" customHeight="1" s="19"/>
    <row r="1674" ht="14.25" customHeight="1" s="19"/>
    <row r="1675" ht="14.25" customHeight="1" s="19"/>
    <row r="1676" ht="14.25" customHeight="1" s="19"/>
    <row r="1677" ht="14.25" customHeight="1" s="19"/>
    <row r="1678" ht="14.25" customHeight="1" s="19"/>
    <row r="1679" ht="14.25" customHeight="1" s="19"/>
    <row r="1680" ht="14.25" customHeight="1" s="19"/>
    <row r="1681" ht="14.25" customHeight="1" s="19"/>
    <row r="1682" ht="14.25" customHeight="1" s="19"/>
    <row r="1683" ht="14.25" customHeight="1" s="19"/>
    <row r="1684" ht="14.25" customHeight="1" s="19"/>
    <row r="1685" ht="14.25" customHeight="1" s="19"/>
    <row r="1686" ht="14.25" customHeight="1" s="19"/>
    <row r="1687" ht="14.25" customHeight="1" s="19"/>
    <row r="1688" ht="14.25" customHeight="1" s="19"/>
    <row r="1689" ht="14.25" customHeight="1" s="19"/>
    <row r="1690" ht="14.25" customHeight="1" s="19"/>
    <row r="1691" ht="14.25" customHeight="1" s="19"/>
    <row r="1692" ht="14.25" customHeight="1" s="19"/>
    <row r="1693" ht="14.25" customHeight="1" s="19"/>
    <row r="1694" ht="14.25" customHeight="1" s="19"/>
    <row r="1695" ht="14.25" customHeight="1" s="19"/>
    <row r="1696" ht="14.25" customHeight="1" s="19"/>
    <row r="1697" ht="14.25" customHeight="1" s="19"/>
    <row r="1698" ht="14.25" customHeight="1" s="19"/>
    <row r="1699" ht="14.25" customHeight="1" s="19"/>
    <row r="1700" ht="14.25" customHeight="1" s="19"/>
    <row r="1701" ht="14.25" customHeight="1" s="19"/>
    <row r="1702" ht="14.25" customHeight="1" s="19"/>
    <row r="1703" ht="14.25" customHeight="1" s="19"/>
    <row r="1704" ht="14.25" customHeight="1" s="19"/>
    <row r="1705" ht="14.25" customHeight="1" s="19"/>
    <row r="1706" ht="14.25" customHeight="1" s="19"/>
    <row r="1707" ht="14.25" customHeight="1" s="19"/>
    <row r="1708" ht="14.25" customHeight="1" s="19"/>
    <row r="1709" ht="14.25" customHeight="1" s="19"/>
    <row r="1710" ht="14.25" customHeight="1" s="19"/>
    <row r="1711" ht="14.25" customHeight="1" s="19"/>
    <row r="1712" ht="14.25" customHeight="1" s="19"/>
    <row r="1713" ht="14.25" customHeight="1" s="19"/>
    <row r="1714" ht="14.25" customHeight="1" s="19"/>
    <row r="1715" ht="14.25" customHeight="1" s="19"/>
    <row r="1716" ht="14.25" customHeight="1" s="19"/>
    <row r="1717" ht="14.25" customHeight="1" s="19"/>
    <row r="1718" ht="14.25" customHeight="1" s="19"/>
    <row r="1719" ht="14.25" customHeight="1" s="19"/>
    <row r="1720" ht="14.25" customHeight="1" s="19"/>
    <row r="1721" ht="14.25" customHeight="1" s="19"/>
    <row r="1722" ht="14.25" customHeight="1" s="19"/>
    <row r="1723" ht="14.25" customHeight="1" s="19"/>
    <row r="1724" ht="14.25" customHeight="1" s="19"/>
    <row r="1725" ht="14.25" customHeight="1" s="19"/>
    <row r="1726" ht="14.25" customHeight="1" s="19"/>
    <row r="1727" ht="14.25" customHeight="1" s="19"/>
    <row r="1728" ht="14.25" customHeight="1" s="19"/>
    <row r="1729" ht="14.25" customHeight="1" s="19"/>
    <row r="1730" ht="14.25" customHeight="1" s="19"/>
    <row r="1731" ht="14.25" customHeight="1" s="19"/>
    <row r="1732" ht="14.25" customHeight="1" s="19"/>
    <row r="1733" ht="14.25" customHeight="1" s="19"/>
    <row r="1734" ht="14.25" customHeight="1" s="19"/>
    <row r="1735" ht="14.25" customHeight="1" s="19"/>
    <row r="1736" ht="14.25" customHeight="1" s="19"/>
    <row r="1737" ht="14.25" customHeight="1" s="19"/>
    <row r="1738" ht="14.25" customHeight="1" s="19"/>
    <row r="1739" ht="14.25" customHeight="1" s="19"/>
    <row r="1740" ht="14.25" customHeight="1" s="19"/>
    <row r="1741" ht="14.25" customHeight="1" s="19"/>
    <row r="1742" ht="14.25" customHeight="1" s="19"/>
    <row r="1743" ht="14.25" customHeight="1" s="19"/>
    <row r="1744" ht="14.25" customHeight="1" s="19"/>
    <row r="1745" ht="14.25" customHeight="1" s="19"/>
    <row r="1746" ht="14.25" customHeight="1" s="19"/>
    <row r="1747" ht="14.25" customHeight="1" s="19"/>
    <row r="1748" ht="14.25" customHeight="1" s="19"/>
    <row r="1749" ht="14.25" customHeight="1" s="19"/>
    <row r="1750" ht="14.25" customHeight="1" s="19"/>
    <row r="1751" ht="14.25" customHeight="1" s="19"/>
    <row r="1752" ht="14.25" customHeight="1" s="19"/>
    <row r="1753" ht="14.25" customHeight="1" s="19"/>
    <row r="1754" ht="14.25" customHeight="1" s="19"/>
    <row r="1755" ht="14.25" customHeight="1" s="19"/>
    <row r="1756" ht="14.25" customHeight="1" s="19"/>
    <row r="1757" ht="14.25" customHeight="1" s="19"/>
    <row r="1758" ht="14.25" customHeight="1" s="19"/>
    <row r="1759" ht="14.25" customHeight="1" s="19"/>
    <row r="1760" ht="14.25" customHeight="1" s="19"/>
    <row r="1761" ht="14.25" customHeight="1" s="19"/>
    <row r="1762" ht="14.25" customHeight="1" s="19"/>
    <row r="1763" ht="14.25" customHeight="1" s="19"/>
    <row r="1764" ht="14.25" customHeight="1" s="19"/>
    <row r="1765" ht="14.25" customHeight="1" s="19"/>
    <row r="1766" ht="14.25" customHeight="1" s="19"/>
    <row r="1767" ht="14.25" customHeight="1" s="19"/>
    <row r="1768" ht="14.25" customHeight="1" s="19"/>
    <row r="1769" ht="14.25" customHeight="1" s="19"/>
    <row r="1770" ht="14.25" customHeight="1" s="19"/>
    <row r="1771" ht="14.25" customHeight="1" s="19"/>
    <row r="1772" ht="14.25" customHeight="1" s="19"/>
    <row r="1773" ht="14.25" customHeight="1" s="19"/>
    <row r="1774" ht="14.25" customHeight="1" s="19"/>
    <row r="1775" ht="14.25" customHeight="1" s="19"/>
    <row r="1776" ht="14.25" customHeight="1" s="19"/>
    <row r="1777" ht="14.25" customHeight="1" s="19"/>
    <row r="1778" ht="14.25" customHeight="1" s="19"/>
    <row r="1779" ht="14.25" customHeight="1" s="19"/>
    <row r="1780" ht="14.25" customHeight="1" s="19"/>
    <row r="1781" ht="14.25" customHeight="1" s="19"/>
    <row r="1782" ht="14.25" customHeight="1" s="19"/>
    <row r="1783" ht="14.25" customHeight="1" s="19"/>
    <row r="1784" ht="14.25" customHeight="1" s="19"/>
    <row r="1785" ht="14.25" customHeight="1" s="19"/>
    <row r="1786" ht="14.25" customHeight="1" s="19"/>
    <row r="1787" ht="14.25" customHeight="1" s="19"/>
    <row r="1788" ht="14.25" customHeight="1" s="19"/>
    <row r="1789" ht="14.25" customHeight="1" s="19"/>
    <row r="1790" ht="14.25" customHeight="1" s="19"/>
    <row r="1791" ht="14.25" customHeight="1" s="19"/>
    <row r="1792" ht="14.25" customHeight="1" s="19"/>
    <row r="1793" ht="14.25" customHeight="1" s="19"/>
    <row r="1794" ht="14.25" customHeight="1" s="19"/>
    <row r="1795" ht="14.25" customHeight="1" s="19"/>
    <row r="1796" ht="14.25" customHeight="1" s="19"/>
    <row r="1797" ht="14.25" customHeight="1" s="19"/>
    <row r="1798" ht="14.25" customHeight="1" s="19"/>
    <row r="1799" ht="14.25" customHeight="1" s="19"/>
    <row r="1800" ht="14.25" customHeight="1" s="19"/>
    <row r="1801" ht="14.25" customHeight="1" s="19"/>
    <row r="1802" ht="14.25" customHeight="1" s="19"/>
    <row r="1803" ht="14.25" customHeight="1" s="19"/>
    <row r="1804" ht="14.25" customHeight="1" s="19"/>
    <row r="1805" ht="14.25" customHeight="1" s="19"/>
    <row r="1806" ht="14.25" customHeight="1" s="19"/>
    <row r="1807" ht="14.25" customHeight="1" s="19"/>
    <row r="1808" ht="14.25" customHeight="1" s="19"/>
    <row r="1809" ht="14.25" customHeight="1" s="19"/>
    <row r="1810" ht="14.25" customHeight="1" s="19"/>
    <row r="1811" ht="14.25" customHeight="1" s="19"/>
    <row r="1812" ht="14.25" customHeight="1" s="19"/>
    <row r="1813" ht="14.25" customHeight="1" s="19"/>
    <row r="1814" ht="14.25" customHeight="1" s="19"/>
    <row r="1815" ht="14.25" customHeight="1" s="19"/>
    <row r="1816" ht="14.25" customHeight="1" s="19"/>
    <row r="1817" ht="14.25" customHeight="1" s="19"/>
    <row r="1818" ht="14.25" customHeight="1" s="19"/>
    <row r="1819" ht="14.25" customHeight="1" s="19"/>
    <row r="1820" ht="14.25" customHeight="1" s="19"/>
    <row r="1821" ht="14.25" customHeight="1" s="19"/>
    <row r="1822" ht="14.25" customHeight="1" s="19"/>
    <row r="1823" ht="14.25" customHeight="1" s="19"/>
    <row r="1824" ht="14.25" customHeight="1" s="19"/>
    <row r="1825" ht="14.25" customHeight="1" s="19"/>
    <row r="1826" ht="14.25" customHeight="1" s="19"/>
    <row r="1827" ht="14.25" customHeight="1" s="19"/>
    <row r="1828" ht="14.25" customHeight="1" s="19"/>
  </sheetData>
  <dataValidations count="1">
    <dataValidation sqref="J7:P227" showDropDown="0" showInputMessage="0" showErrorMessage="1" allowBlank="1" type="list">
      <formula1>"ACV,Agua-Cinza,Agua-Pluvial,Agua-Potavel,Analise-Agrupamento,Analise-Incerteza,Analise-Sensibilidade,Aproveitamento-agua-chuva,Aquecimento-Agua,Benchmarking,CCV,Certificacao-Ambiental,Comercial-Escritorio,Comportamento-Usuario,Conforto-Termico,Demografia-"&amp;"Usuario,Desempenho-Termico,Eficiencia-Energetica,Eletricidade,Emissoes-Carbono,Energia-embutida,Energia-Solar,Envoltoria,Equipamento-Hidrossanitario,Escala-Urbana,Escola-Universidade,Estudo-Campo,First-Flush,Habitacao-Interesse-Social,Hidraulica,Iluminaca"&amp;"o,Industrial-Servicos,Mudancas-Climaticas,Pavimento-Permeavel,Pneu,Precipitacao,Preventivo-Incendio,Produtividade,Qualidade-Agua,Qualidade-Ar,Radiacao-solar,Reservatorio,Residencial-Multifamiliar,Residencial-Unifamiliar,Resíduo,Retrofit,Revisao-Literatura"&amp;",Simulacao-Computacional,Sombreamento,Telhado-Frio,Telhado-Verde,Transporte,Usos-Finais,Ventilacao,Vidros-E-Janelas"</formula1>
    </dataValidation>
  </dataValidations>
  <hyperlinks>
    <hyperlink xmlns:r="http://schemas.openxmlformats.org/officeDocument/2006/relationships" ref="H7" r:id="rId1"/>
    <hyperlink xmlns:r="http://schemas.openxmlformats.org/officeDocument/2006/relationships" ref="H8" r:id="rId2"/>
    <hyperlink xmlns:r="http://schemas.openxmlformats.org/officeDocument/2006/relationships" ref="H9" r:id="rId3"/>
    <hyperlink xmlns:r="http://schemas.openxmlformats.org/officeDocument/2006/relationships" ref="H10" r:id="rId4"/>
    <hyperlink xmlns:r="http://schemas.openxmlformats.org/officeDocument/2006/relationships" ref="H11" r:id="rId5"/>
    <hyperlink xmlns:r="http://schemas.openxmlformats.org/officeDocument/2006/relationships" ref="H12" r:id="rId6"/>
    <hyperlink xmlns:r="http://schemas.openxmlformats.org/officeDocument/2006/relationships" ref="H13" r:id="rId7"/>
    <hyperlink xmlns:r="http://schemas.openxmlformats.org/officeDocument/2006/relationships" ref="H14" r:id="rId8"/>
    <hyperlink xmlns:r="http://schemas.openxmlformats.org/officeDocument/2006/relationships" ref="H15" r:id="rId9"/>
    <hyperlink xmlns:r="http://schemas.openxmlformats.org/officeDocument/2006/relationships" ref="H16" r:id="rId10"/>
    <hyperlink xmlns:r="http://schemas.openxmlformats.org/officeDocument/2006/relationships" ref="H17" r:id="rId11"/>
    <hyperlink xmlns:r="http://schemas.openxmlformats.org/officeDocument/2006/relationships" ref="H18" r:id="rId12"/>
    <hyperlink xmlns:r="http://schemas.openxmlformats.org/officeDocument/2006/relationships" ref="H19" r:id="rId13"/>
    <hyperlink xmlns:r="http://schemas.openxmlformats.org/officeDocument/2006/relationships" ref="H20" r:id="rId14"/>
    <hyperlink xmlns:r="http://schemas.openxmlformats.org/officeDocument/2006/relationships" ref="H21" r:id="rId15"/>
    <hyperlink xmlns:r="http://schemas.openxmlformats.org/officeDocument/2006/relationships" ref="H22" r:id="rId16"/>
    <hyperlink xmlns:r="http://schemas.openxmlformats.org/officeDocument/2006/relationships" ref="H23" r:id="rId17"/>
    <hyperlink xmlns:r="http://schemas.openxmlformats.org/officeDocument/2006/relationships" ref="H24" r:id="rId18"/>
    <hyperlink xmlns:r="http://schemas.openxmlformats.org/officeDocument/2006/relationships" ref="H25" r:id="rId19"/>
    <hyperlink xmlns:r="http://schemas.openxmlformats.org/officeDocument/2006/relationships" ref="H26" r:id="rId20"/>
    <hyperlink xmlns:r="http://schemas.openxmlformats.org/officeDocument/2006/relationships" ref="H27" r:id="rId21"/>
    <hyperlink xmlns:r="http://schemas.openxmlformats.org/officeDocument/2006/relationships" ref="H28" r:id="rId22"/>
    <hyperlink xmlns:r="http://schemas.openxmlformats.org/officeDocument/2006/relationships" ref="H29" r:id="rId23"/>
    <hyperlink xmlns:r="http://schemas.openxmlformats.org/officeDocument/2006/relationships" ref="H30" r:id="rId24"/>
    <hyperlink xmlns:r="http://schemas.openxmlformats.org/officeDocument/2006/relationships" ref="H31" r:id="rId25"/>
    <hyperlink xmlns:r="http://schemas.openxmlformats.org/officeDocument/2006/relationships" ref="H32" r:id="rId26"/>
    <hyperlink xmlns:r="http://schemas.openxmlformats.org/officeDocument/2006/relationships" ref="H33" r:id="rId27"/>
    <hyperlink xmlns:r="http://schemas.openxmlformats.org/officeDocument/2006/relationships" ref="H34" r:id="rId28"/>
    <hyperlink xmlns:r="http://schemas.openxmlformats.org/officeDocument/2006/relationships" ref="H35" r:id="rId29"/>
    <hyperlink xmlns:r="http://schemas.openxmlformats.org/officeDocument/2006/relationships" ref="H36" r:id="rId30"/>
    <hyperlink xmlns:r="http://schemas.openxmlformats.org/officeDocument/2006/relationships" ref="H37" r:id="rId31"/>
    <hyperlink xmlns:r="http://schemas.openxmlformats.org/officeDocument/2006/relationships" ref="H38" r:id="rId32"/>
    <hyperlink xmlns:r="http://schemas.openxmlformats.org/officeDocument/2006/relationships" ref="H39" r:id="rId33"/>
    <hyperlink xmlns:r="http://schemas.openxmlformats.org/officeDocument/2006/relationships" ref="H40" r:id="rId34"/>
    <hyperlink xmlns:r="http://schemas.openxmlformats.org/officeDocument/2006/relationships" ref="H41" r:id="rId35"/>
    <hyperlink xmlns:r="http://schemas.openxmlformats.org/officeDocument/2006/relationships" ref="H42" r:id="rId36"/>
    <hyperlink xmlns:r="http://schemas.openxmlformats.org/officeDocument/2006/relationships" ref="H43" r:id="rId37"/>
    <hyperlink xmlns:r="http://schemas.openxmlformats.org/officeDocument/2006/relationships" ref="H44" r:id="rId38"/>
    <hyperlink xmlns:r="http://schemas.openxmlformats.org/officeDocument/2006/relationships" ref="H45" r:id="rId39"/>
    <hyperlink xmlns:r="http://schemas.openxmlformats.org/officeDocument/2006/relationships" ref="H46" r:id="rId40"/>
    <hyperlink xmlns:r="http://schemas.openxmlformats.org/officeDocument/2006/relationships" ref="H47" r:id="rId41"/>
    <hyperlink xmlns:r="http://schemas.openxmlformats.org/officeDocument/2006/relationships" ref="H48" r:id="rId42"/>
    <hyperlink xmlns:r="http://schemas.openxmlformats.org/officeDocument/2006/relationships" ref="H49" r:id="rId43"/>
    <hyperlink xmlns:r="http://schemas.openxmlformats.org/officeDocument/2006/relationships" ref="H50" r:id="rId44"/>
    <hyperlink xmlns:r="http://schemas.openxmlformats.org/officeDocument/2006/relationships" ref="H51" r:id="rId45"/>
    <hyperlink xmlns:r="http://schemas.openxmlformats.org/officeDocument/2006/relationships" ref="H52" r:id="rId46"/>
    <hyperlink xmlns:r="http://schemas.openxmlformats.org/officeDocument/2006/relationships" ref="H53" r:id="rId47"/>
    <hyperlink xmlns:r="http://schemas.openxmlformats.org/officeDocument/2006/relationships" ref="H54" r:id="rId48"/>
    <hyperlink xmlns:r="http://schemas.openxmlformats.org/officeDocument/2006/relationships" ref="H55" r:id="rId49"/>
    <hyperlink xmlns:r="http://schemas.openxmlformats.org/officeDocument/2006/relationships" ref="H56" r:id="rId50"/>
    <hyperlink xmlns:r="http://schemas.openxmlformats.org/officeDocument/2006/relationships" ref="H57" r:id="rId51"/>
    <hyperlink xmlns:r="http://schemas.openxmlformats.org/officeDocument/2006/relationships" ref="H58" r:id="rId52"/>
    <hyperlink xmlns:r="http://schemas.openxmlformats.org/officeDocument/2006/relationships" ref="H59" r:id="rId53"/>
    <hyperlink xmlns:r="http://schemas.openxmlformats.org/officeDocument/2006/relationships" ref="H60" r:id="rId54"/>
    <hyperlink xmlns:r="http://schemas.openxmlformats.org/officeDocument/2006/relationships" ref="H61" r:id="rId55"/>
    <hyperlink xmlns:r="http://schemas.openxmlformats.org/officeDocument/2006/relationships" ref="H62" r:id="rId56"/>
    <hyperlink xmlns:r="http://schemas.openxmlformats.org/officeDocument/2006/relationships" ref="H63" r:id="rId57"/>
    <hyperlink xmlns:r="http://schemas.openxmlformats.org/officeDocument/2006/relationships" ref="H64" r:id="rId58"/>
    <hyperlink xmlns:r="http://schemas.openxmlformats.org/officeDocument/2006/relationships" ref="H65" r:id="rId59"/>
    <hyperlink xmlns:r="http://schemas.openxmlformats.org/officeDocument/2006/relationships" ref="H66" r:id="rId60"/>
    <hyperlink xmlns:r="http://schemas.openxmlformats.org/officeDocument/2006/relationships" ref="H67" r:id="rId61"/>
    <hyperlink xmlns:r="http://schemas.openxmlformats.org/officeDocument/2006/relationships" ref="H68" r:id="rId62"/>
    <hyperlink xmlns:r="http://schemas.openxmlformats.org/officeDocument/2006/relationships" ref="H69" r:id="rId63"/>
    <hyperlink xmlns:r="http://schemas.openxmlformats.org/officeDocument/2006/relationships" ref="H70" r:id="rId64"/>
    <hyperlink xmlns:r="http://schemas.openxmlformats.org/officeDocument/2006/relationships" ref="H71" r:id="rId65"/>
    <hyperlink xmlns:r="http://schemas.openxmlformats.org/officeDocument/2006/relationships" ref="H72" r:id="rId66"/>
    <hyperlink xmlns:r="http://schemas.openxmlformats.org/officeDocument/2006/relationships" ref="H73" r:id="rId67"/>
    <hyperlink xmlns:r="http://schemas.openxmlformats.org/officeDocument/2006/relationships" ref="H74" r:id="rId68"/>
    <hyperlink xmlns:r="http://schemas.openxmlformats.org/officeDocument/2006/relationships" ref="H75" r:id="rId69"/>
    <hyperlink xmlns:r="http://schemas.openxmlformats.org/officeDocument/2006/relationships" ref="H76" r:id="rId70"/>
    <hyperlink xmlns:r="http://schemas.openxmlformats.org/officeDocument/2006/relationships" ref="H77" r:id="rId71"/>
    <hyperlink xmlns:r="http://schemas.openxmlformats.org/officeDocument/2006/relationships" ref="H78" r:id="rId72"/>
    <hyperlink xmlns:r="http://schemas.openxmlformats.org/officeDocument/2006/relationships" ref="H79" r:id="rId73"/>
    <hyperlink xmlns:r="http://schemas.openxmlformats.org/officeDocument/2006/relationships" ref="H80" r:id="rId74"/>
    <hyperlink xmlns:r="http://schemas.openxmlformats.org/officeDocument/2006/relationships" ref="H81" r:id="rId75"/>
    <hyperlink xmlns:r="http://schemas.openxmlformats.org/officeDocument/2006/relationships" ref="H82" r:id="rId76"/>
    <hyperlink xmlns:r="http://schemas.openxmlformats.org/officeDocument/2006/relationships" ref="H83" r:id="rId77"/>
    <hyperlink xmlns:r="http://schemas.openxmlformats.org/officeDocument/2006/relationships" ref="H84" r:id="rId78"/>
    <hyperlink xmlns:r="http://schemas.openxmlformats.org/officeDocument/2006/relationships" ref="H85" r:id="rId79"/>
    <hyperlink xmlns:r="http://schemas.openxmlformats.org/officeDocument/2006/relationships" ref="H86" r:id="rId80"/>
    <hyperlink xmlns:r="http://schemas.openxmlformats.org/officeDocument/2006/relationships" ref="H87" r:id="rId81"/>
    <hyperlink xmlns:r="http://schemas.openxmlformats.org/officeDocument/2006/relationships" ref="H88" r:id="rId82"/>
    <hyperlink xmlns:r="http://schemas.openxmlformats.org/officeDocument/2006/relationships" ref="H89" r:id="rId83"/>
    <hyperlink xmlns:r="http://schemas.openxmlformats.org/officeDocument/2006/relationships" ref="H90" r:id="rId84"/>
    <hyperlink xmlns:r="http://schemas.openxmlformats.org/officeDocument/2006/relationships" ref="H91" r:id="rId85"/>
    <hyperlink xmlns:r="http://schemas.openxmlformats.org/officeDocument/2006/relationships" ref="H92" r:id="rId86"/>
    <hyperlink xmlns:r="http://schemas.openxmlformats.org/officeDocument/2006/relationships" ref="H93" r:id="rId87"/>
    <hyperlink xmlns:r="http://schemas.openxmlformats.org/officeDocument/2006/relationships" ref="H94" r:id="rId88"/>
    <hyperlink xmlns:r="http://schemas.openxmlformats.org/officeDocument/2006/relationships" ref="H95" r:id="rId89"/>
    <hyperlink xmlns:r="http://schemas.openxmlformats.org/officeDocument/2006/relationships" ref="H96" r:id="rId90"/>
    <hyperlink xmlns:r="http://schemas.openxmlformats.org/officeDocument/2006/relationships" ref="H97" r:id="rId91"/>
    <hyperlink xmlns:r="http://schemas.openxmlformats.org/officeDocument/2006/relationships" ref="H98" r:id="rId92"/>
    <hyperlink xmlns:r="http://schemas.openxmlformats.org/officeDocument/2006/relationships" ref="H99" r:id="rId93"/>
    <hyperlink xmlns:r="http://schemas.openxmlformats.org/officeDocument/2006/relationships" ref="H100" r:id="rId94"/>
    <hyperlink xmlns:r="http://schemas.openxmlformats.org/officeDocument/2006/relationships" ref="H101" r:id="rId95"/>
    <hyperlink xmlns:r="http://schemas.openxmlformats.org/officeDocument/2006/relationships" ref="H102" r:id="rId96"/>
    <hyperlink xmlns:r="http://schemas.openxmlformats.org/officeDocument/2006/relationships" ref="H103" r:id="rId97"/>
    <hyperlink xmlns:r="http://schemas.openxmlformats.org/officeDocument/2006/relationships" ref="H104" r:id="rId98"/>
    <hyperlink xmlns:r="http://schemas.openxmlformats.org/officeDocument/2006/relationships" ref="H105" r:id="rId99"/>
    <hyperlink xmlns:r="http://schemas.openxmlformats.org/officeDocument/2006/relationships" ref="H106" r:id="rId100"/>
    <hyperlink xmlns:r="http://schemas.openxmlformats.org/officeDocument/2006/relationships" ref="H107" r:id="rId101"/>
    <hyperlink xmlns:r="http://schemas.openxmlformats.org/officeDocument/2006/relationships" ref="H108" r:id="rId102"/>
    <hyperlink xmlns:r="http://schemas.openxmlformats.org/officeDocument/2006/relationships" ref="H109" r:id="rId103"/>
    <hyperlink xmlns:r="http://schemas.openxmlformats.org/officeDocument/2006/relationships" ref="H110" r:id="rId104"/>
    <hyperlink xmlns:r="http://schemas.openxmlformats.org/officeDocument/2006/relationships" ref="H111" r:id="rId105"/>
    <hyperlink xmlns:r="http://schemas.openxmlformats.org/officeDocument/2006/relationships" ref="H112" r:id="rId106"/>
    <hyperlink xmlns:r="http://schemas.openxmlformats.org/officeDocument/2006/relationships" ref="H113" r:id="rId107"/>
    <hyperlink xmlns:r="http://schemas.openxmlformats.org/officeDocument/2006/relationships" ref="H114" r:id="rId108"/>
    <hyperlink xmlns:r="http://schemas.openxmlformats.org/officeDocument/2006/relationships" ref="H115" r:id="rId109"/>
    <hyperlink xmlns:r="http://schemas.openxmlformats.org/officeDocument/2006/relationships" ref="H116" r:id="rId110"/>
    <hyperlink xmlns:r="http://schemas.openxmlformats.org/officeDocument/2006/relationships" ref="H117" r:id="rId111"/>
    <hyperlink xmlns:r="http://schemas.openxmlformats.org/officeDocument/2006/relationships" ref="H118" r:id="rId112"/>
    <hyperlink xmlns:r="http://schemas.openxmlformats.org/officeDocument/2006/relationships" ref="H119" r:id="rId113"/>
    <hyperlink xmlns:r="http://schemas.openxmlformats.org/officeDocument/2006/relationships" ref="H120" r:id="rId114"/>
    <hyperlink xmlns:r="http://schemas.openxmlformats.org/officeDocument/2006/relationships" ref="H121" r:id="rId115"/>
    <hyperlink xmlns:r="http://schemas.openxmlformats.org/officeDocument/2006/relationships" ref="H122" r:id="rId116"/>
    <hyperlink xmlns:r="http://schemas.openxmlformats.org/officeDocument/2006/relationships" ref="H123" r:id="rId117"/>
    <hyperlink xmlns:r="http://schemas.openxmlformats.org/officeDocument/2006/relationships" ref="H124" r:id="rId118"/>
    <hyperlink xmlns:r="http://schemas.openxmlformats.org/officeDocument/2006/relationships" ref="H125" r:id="rId119"/>
    <hyperlink xmlns:r="http://schemas.openxmlformats.org/officeDocument/2006/relationships" ref="H126" r:id="rId120"/>
    <hyperlink xmlns:r="http://schemas.openxmlformats.org/officeDocument/2006/relationships" ref="H127" r:id="rId121"/>
    <hyperlink xmlns:r="http://schemas.openxmlformats.org/officeDocument/2006/relationships" ref="H128" r:id="rId122"/>
    <hyperlink xmlns:r="http://schemas.openxmlformats.org/officeDocument/2006/relationships" ref="H129" r:id="rId123"/>
    <hyperlink xmlns:r="http://schemas.openxmlformats.org/officeDocument/2006/relationships" ref="H130" r:id="rId124"/>
    <hyperlink xmlns:r="http://schemas.openxmlformats.org/officeDocument/2006/relationships" ref="H131" r:id="rId125"/>
    <hyperlink xmlns:r="http://schemas.openxmlformats.org/officeDocument/2006/relationships" ref="H132" r:id="rId126"/>
    <hyperlink xmlns:r="http://schemas.openxmlformats.org/officeDocument/2006/relationships" ref="H133" r:id="rId127"/>
    <hyperlink xmlns:r="http://schemas.openxmlformats.org/officeDocument/2006/relationships" ref="H134" r:id="rId128"/>
    <hyperlink xmlns:r="http://schemas.openxmlformats.org/officeDocument/2006/relationships" ref="H135" r:id="rId129"/>
    <hyperlink xmlns:r="http://schemas.openxmlformats.org/officeDocument/2006/relationships" ref="H136" r:id="rId130"/>
    <hyperlink xmlns:r="http://schemas.openxmlformats.org/officeDocument/2006/relationships" ref="H137" r:id="rId131"/>
    <hyperlink xmlns:r="http://schemas.openxmlformats.org/officeDocument/2006/relationships" ref="H138" r:id="rId132"/>
    <hyperlink xmlns:r="http://schemas.openxmlformats.org/officeDocument/2006/relationships" ref="H139" r:id="rId133"/>
    <hyperlink xmlns:r="http://schemas.openxmlformats.org/officeDocument/2006/relationships" ref="H140" r:id="rId134"/>
    <hyperlink xmlns:r="http://schemas.openxmlformats.org/officeDocument/2006/relationships" ref="H141" r:id="rId135"/>
    <hyperlink xmlns:r="http://schemas.openxmlformats.org/officeDocument/2006/relationships" ref="H142" r:id="rId136"/>
    <hyperlink xmlns:r="http://schemas.openxmlformats.org/officeDocument/2006/relationships" ref="H143" r:id="rId137"/>
    <hyperlink xmlns:r="http://schemas.openxmlformats.org/officeDocument/2006/relationships" ref="H144" r:id="rId138"/>
    <hyperlink xmlns:r="http://schemas.openxmlformats.org/officeDocument/2006/relationships" ref="H145" r:id="rId139"/>
    <hyperlink xmlns:r="http://schemas.openxmlformats.org/officeDocument/2006/relationships" ref="H146" r:id="rId140"/>
    <hyperlink xmlns:r="http://schemas.openxmlformats.org/officeDocument/2006/relationships" ref="H147" r:id="rId141"/>
    <hyperlink xmlns:r="http://schemas.openxmlformats.org/officeDocument/2006/relationships" ref="H148" r:id="rId142"/>
    <hyperlink xmlns:r="http://schemas.openxmlformats.org/officeDocument/2006/relationships" ref="H149" r:id="rId143"/>
    <hyperlink xmlns:r="http://schemas.openxmlformats.org/officeDocument/2006/relationships" ref="H150" r:id="rId144"/>
    <hyperlink xmlns:r="http://schemas.openxmlformats.org/officeDocument/2006/relationships" ref="H151" r:id="rId145"/>
    <hyperlink xmlns:r="http://schemas.openxmlformats.org/officeDocument/2006/relationships" ref="H152" r:id="rId146"/>
    <hyperlink xmlns:r="http://schemas.openxmlformats.org/officeDocument/2006/relationships" ref="H153" r:id="rId147"/>
    <hyperlink xmlns:r="http://schemas.openxmlformats.org/officeDocument/2006/relationships" ref="H154" r:id="rId148"/>
    <hyperlink xmlns:r="http://schemas.openxmlformats.org/officeDocument/2006/relationships" ref="H155" r:id="rId149"/>
    <hyperlink xmlns:r="http://schemas.openxmlformats.org/officeDocument/2006/relationships" ref="H156" r:id="rId150"/>
    <hyperlink xmlns:r="http://schemas.openxmlformats.org/officeDocument/2006/relationships" ref="H157" r:id="rId151"/>
    <hyperlink xmlns:r="http://schemas.openxmlformats.org/officeDocument/2006/relationships" ref="H158" r:id="rId152"/>
    <hyperlink xmlns:r="http://schemas.openxmlformats.org/officeDocument/2006/relationships" ref="H159" r:id="rId153"/>
    <hyperlink xmlns:r="http://schemas.openxmlformats.org/officeDocument/2006/relationships" ref="H160" r:id="rId154"/>
    <hyperlink xmlns:r="http://schemas.openxmlformats.org/officeDocument/2006/relationships" ref="H161" r:id="rId155"/>
    <hyperlink xmlns:r="http://schemas.openxmlformats.org/officeDocument/2006/relationships" ref="H162" r:id="rId156"/>
    <hyperlink xmlns:r="http://schemas.openxmlformats.org/officeDocument/2006/relationships" ref="H163" r:id="rId157"/>
    <hyperlink xmlns:r="http://schemas.openxmlformats.org/officeDocument/2006/relationships" ref="H164" r:id="rId158"/>
    <hyperlink xmlns:r="http://schemas.openxmlformats.org/officeDocument/2006/relationships" ref="H165" r:id="rId159"/>
    <hyperlink xmlns:r="http://schemas.openxmlformats.org/officeDocument/2006/relationships" ref="H166" r:id="rId160"/>
    <hyperlink xmlns:r="http://schemas.openxmlformats.org/officeDocument/2006/relationships" ref="H167" r:id="rId161"/>
    <hyperlink xmlns:r="http://schemas.openxmlformats.org/officeDocument/2006/relationships" ref="H168" r:id="rId162"/>
    <hyperlink xmlns:r="http://schemas.openxmlformats.org/officeDocument/2006/relationships" ref="H169" r:id="rId163"/>
    <hyperlink xmlns:r="http://schemas.openxmlformats.org/officeDocument/2006/relationships" ref="H170" r:id="rId164"/>
    <hyperlink xmlns:r="http://schemas.openxmlformats.org/officeDocument/2006/relationships" ref="H171" r:id="rId165"/>
    <hyperlink xmlns:r="http://schemas.openxmlformats.org/officeDocument/2006/relationships" ref="H172" r:id="rId166"/>
    <hyperlink xmlns:r="http://schemas.openxmlformats.org/officeDocument/2006/relationships" ref="H173" r:id="rId167"/>
    <hyperlink xmlns:r="http://schemas.openxmlformats.org/officeDocument/2006/relationships" ref="H174" r:id="rId168"/>
    <hyperlink xmlns:r="http://schemas.openxmlformats.org/officeDocument/2006/relationships" ref="H175" r:id="rId169"/>
    <hyperlink xmlns:r="http://schemas.openxmlformats.org/officeDocument/2006/relationships" ref="H176" r:id="rId170"/>
    <hyperlink xmlns:r="http://schemas.openxmlformats.org/officeDocument/2006/relationships" ref="H177" r:id="rId171"/>
    <hyperlink xmlns:r="http://schemas.openxmlformats.org/officeDocument/2006/relationships" ref="H178" r:id="rId172"/>
    <hyperlink xmlns:r="http://schemas.openxmlformats.org/officeDocument/2006/relationships" ref="H179" r:id="rId173"/>
    <hyperlink xmlns:r="http://schemas.openxmlformats.org/officeDocument/2006/relationships" ref="H180" r:id="rId174"/>
    <hyperlink xmlns:r="http://schemas.openxmlformats.org/officeDocument/2006/relationships" ref="H181" r:id="rId175"/>
    <hyperlink xmlns:r="http://schemas.openxmlformats.org/officeDocument/2006/relationships" ref="H182" r:id="rId176"/>
    <hyperlink xmlns:r="http://schemas.openxmlformats.org/officeDocument/2006/relationships" ref="H183" r:id="rId177"/>
    <hyperlink xmlns:r="http://schemas.openxmlformats.org/officeDocument/2006/relationships" ref="H184" r:id="rId178"/>
    <hyperlink xmlns:r="http://schemas.openxmlformats.org/officeDocument/2006/relationships" ref="H185" r:id="rId179"/>
    <hyperlink xmlns:r="http://schemas.openxmlformats.org/officeDocument/2006/relationships" ref="H186" r:id="rId180"/>
    <hyperlink xmlns:r="http://schemas.openxmlformats.org/officeDocument/2006/relationships" ref="H187" r:id="rId181"/>
    <hyperlink xmlns:r="http://schemas.openxmlformats.org/officeDocument/2006/relationships" ref="H188" r:id="rId182"/>
    <hyperlink xmlns:r="http://schemas.openxmlformats.org/officeDocument/2006/relationships" ref="H189" r:id="rId183"/>
    <hyperlink xmlns:r="http://schemas.openxmlformats.org/officeDocument/2006/relationships" ref="H190" r:id="rId184"/>
    <hyperlink xmlns:r="http://schemas.openxmlformats.org/officeDocument/2006/relationships" ref="H191" r:id="rId185"/>
    <hyperlink xmlns:r="http://schemas.openxmlformats.org/officeDocument/2006/relationships" ref="H192" r:id="rId186"/>
    <hyperlink xmlns:r="http://schemas.openxmlformats.org/officeDocument/2006/relationships" ref="H193" r:id="rId187"/>
    <hyperlink xmlns:r="http://schemas.openxmlformats.org/officeDocument/2006/relationships" ref="H194" r:id="rId188"/>
    <hyperlink xmlns:r="http://schemas.openxmlformats.org/officeDocument/2006/relationships" ref="H195" r:id="rId189"/>
    <hyperlink xmlns:r="http://schemas.openxmlformats.org/officeDocument/2006/relationships" ref="H196" r:id="rId190"/>
    <hyperlink xmlns:r="http://schemas.openxmlformats.org/officeDocument/2006/relationships" ref="H197" r:id="rId191"/>
    <hyperlink xmlns:r="http://schemas.openxmlformats.org/officeDocument/2006/relationships" ref="H198" r:id="rId192"/>
    <hyperlink xmlns:r="http://schemas.openxmlformats.org/officeDocument/2006/relationships" ref="H199" r:id="rId193"/>
    <hyperlink xmlns:r="http://schemas.openxmlformats.org/officeDocument/2006/relationships" ref="H200" r:id="rId194"/>
    <hyperlink xmlns:r="http://schemas.openxmlformats.org/officeDocument/2006/relationships" ref="H201" r:id="rId195"/>
    <hyperlink xmlns:r="http://schemas.openxmlformats.org/officeDocument/2006/relationships" ref="H202" r:id="rId196"/>
    <hyperlink xmlns:r="http://schemas.openxmlformats.org/officeDocument/2006/relationships" ref="H203" r:id="rId197"/>
    <hyperlink xmlns:r="http://schemas.openxmlformats.org/officeDocument/2006/relationships" ref="H204" r:id="rId198"/>
    <hyperlink xmlns:r="http://schemas.openxmlformats.org/officeDocument/2006/relationships" ref="H205" r:id="rId199"/>
    <hyperlink xmlns:r="http://schemas.openxmlformats.org/officeDocument/2006/relationships" ref="H206" r:id="rId200"/>
    <hyperlink xmlns:r="http://schemas.openxmlformats.org/officeDocument/2006/relationships" ref="H207" r:id="rId201"/>
    <hyperlink xmlns:r="http://schemas.openxmlformats.org/officeDocument/2006/relationships" ref="H208" r:id="rId202"/>
    <hyperlink xmlns:r="http://schemas.openxmlformats.org/officeDocument/2006/relationships" ref="H209" r:id="rId203"/>
    <hyperlink xmlns:r="http://schemas.openxmlformats.org/officeDocument/2006/relationships" ref="H210" r:id="rId204"/>
    <hyperlink xmlns:r="http://schemas.openxmlformats.org/officeDocument/2006/relationships" ref="H211" r:id="rId205"/>
    <hyperlink xmlns:r="http://schemas.openxmlformats.org/officeDocument/2006/relationships" ref="H212" r:id="rId206"/>
    <hyperlink xmlns:r="http://schemas.openxmlformats.org/officeDocument/2006/relationships" ref="H213" r:id="rId207"/>
    <hyperlink xmlns:r="http://schemas.openxmlformats.org/officeDocument/2006/relationships" ref="H214" r:id="rId208"/>
    <hyperlink xmlns:r="http://schemas.openxmlformats.org/officeDocument/2006/relationships" ref="H215" r:id="rId209"/>
    <hyperlink xmlns:r="http://schemas.openxmlformats.org/officeDocument/2006/relationships" ref="H216" r:id="rId210"/>
    <hyperlink xmlns:r="http://schemas.openxmlformats.org/officeDocument/2006/relationships" ref="H217" r:id="rId211"/>
    <hyperlink xmlns:r="http://schemas.openxmlformats.org/officeDocument/2006/relationships" ref="H218" r:id="rId212"/>
    <hyperlink xmlns:r="http://schemas.openxmlformats.org/officeDocument/2006/relationships" ref="H219" r:id="rId213"/>
    <hyperlink xmlns:r="http://schemas.openxmlformats.org/officeDocument/2006/relationships" ref="H220" r:id="rId214"/>
    <hyperlink xmlns:r="http://schemas.openxmlformats.org/officeDocument/2006/relationships" ref="H221" r:id="rId215"/>
    <hyperlink xmlns:r="http://schemas.openxmlformats.org/officeDocument/2006/relationships" ref="H222" r:id="rId216"/>
    <hyperlink xmlns:r="http://schemas.openxmlformats.org/officeDocument/2006/relationships" ref="H223" r:id="rId217"/>
    <hyperlink xmlns:r="http://schemas.openxmlformats.org/officeDocument/2006/relationships" ref="H224" r:id="rId218"/>
    <hyperlink xmlns:r="http://schemas.openxmlformats.org/officeDocument/2006/relationships" ref="H225" r:id="rId219"/>
    <hyperlink xmlns:r="http://schemas.openxmlformats.org/officeDocument/2006/relationships" ref="H226" r:id="rId220"/>
    <hyperlink xmlns:r="http://schemas.openxmlformats.org/officeDocument/2006/relationships" ref="H227" r:id="rId221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2026-07-24T19:51:53Z</dcterms:created>
  <dcterms:modified xmlns:dcterms="http://purl.org/dc/terms/" xmlns:xsi="http://www.w3.org/2001/XMLSchema-instance" xsi:type="dcterms:W3CDTF">2026-09-11T17:31:28Z</dcterms:modified>
</cp:coreProperties>
</file>